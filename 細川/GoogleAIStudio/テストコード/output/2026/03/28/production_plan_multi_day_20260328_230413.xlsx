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23:04:13　・　データ吸出し　—　・　マスタ（master.xlsm）　2026/03/28 22:46:57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休</t>
        </is>
      </c>
      <c r="D26" s="2" t="inlineStr">
        <is>
          <t>休</t>
        </is>
      </c>
      <c r="E26" s="2" t="n">
        <v>1</v>
      </c>
      <c r="F26" s="2" t="inlineStr">
        <is>
          <t>工場休業（メイン・グローバルコメント） 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休</t>
        </is>
      </c>
      <c r="D27" s="2" t="inlineStr">
        <is>
          <t>休</t>
        </is>
      </c>
      <c r="E27" s="2" t="n">
        <v>1</v>
      </c>
      <c r="F27" s="2" t="inlineStr">
        <is>
          <t>工場休業（メイン・グローバルコメント） 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休</t>
        </is>
      </c>
      <c r="D28" s="2" t="inlineStr">
        <is>
          <t>休</t>
        </is>
      </c>
      <c r="E28" s="2" t="n">
        <v>1</v>
      </c>
      <c r="F28" s="2" t="inlineStr">
        <is>
          <t>工場休業（メイン・グローバルコメント） 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休</t>
        </is>
      </c>
      <c r="D29" s="2" t="inlineStr">
        <is>
          <t>休</t>
        </is>
      </c>
      <c r="E29" s="2" t="n">
        <v>1</v>
      </c>
      <c r="F29" s="2" t="inlineStr">
        <is>
          <t>工場休業（メイン・グローバルコメント） 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休</t>
        </is>
      </c>
      <c r="D30" s="2" t="inlineStr">
        <is>
          <t>休</t>
        </is>
      </c>
      <c r="E30" s="2" t="n">
        <v>1</v>
      </c>
      <c r="F30" s="2" t="inlineStr">
        <is>
          <t>工場休業（メイン・グローバルコメント） 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休</t>
        </is>
      </c>
      <c r="D31" s="2" t="inlineStr">
        <is>
          <t>休</t>
        </is>
      </c>
      <c r="E31" s="2" t="n">
        <v>1</v>
      </c>
      <c r="F31" s="2" t="inlineStr">
        <is>
          <t>工場休業（メイン・グローバルコメント） 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99.1% (426/430分)</t>
        </is>
      </c>
      <c r="D4" s="2" t="inlineStr">
        <is>
          <t>90.9% (391/430分)</t>
        </is>
      </c>
      <c r="E4" s="2" t="inlineStr">
        <is>
          <t>8.1% (35/430分)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99.3% (427/430分)</t>
        </is>
      </c>
      <c r="D5" s="2" t="inlineStr">
        <is>
          <t>0.0% (0/430分)</t>
        </is>
      </c>
      <c r="E5" s="2" t="inlineStr">
        <is>
          <t>99.3% (427/430分)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休</t>
        </is>
      </c>
    </row>
    <row r="7">
      <c r="A7" s="2" t="inlineStr">
        <is>
          <t>2026/04/02 (Thu)</t>
        </is>
      </c>
      <c r="B7" s="2" t="inlineStr">
        <is>
          <t>96.0% (413/430分)</t>
        </is>
      </c>
      <c r="C7" s="2" t="inlineStr">
        <is>
          <t>97.0% (417/430分)</t>
        </is>
      </c>
      <c r="D7" s="2" t="inlineStr">
        <is>
          <t>98.6% (424/430分)</t>
        </is>
      </c>
      <c r="E7" s="2" t="inlineStr">
        <is>
          <t>74.0% (318/430分)</t>
        </is>
      </c>
      <c r="F7" s="2" t="inlineStr">
        <is>
          <t>90.7% (390/430分)</t>
        </is>
      </c>
      <c r="G7" s="2" t="inlineStr">
        <is>
          <t>96.0% (413/430分)</t>
        </is>
      </c>
    </row>
    <row r="8">
      <c r="A8" s="2" t="inlineStr">
        <is>
          <t>2026/04/03 (Fri)</t>
        </is>
      </c>
      <c r="B8" s="2" t="inlineStr">
        <is>
          <t>61.9% (266/430分)</t>
        </is>
      </c>
      <c r="C8" s="2" t="inlineStr">
        <is>
          <t>99.5% (428/430分)</t>
        </is>
      </c>
      <c r="D8" s="2" t="inlineStr">
        <is>
          <t>99.5% (428/430分)</t>
        </is>
      </c>
      <c r="E8" s="2" t="inlineStr">
        <is>
          <t>38.6% (166/430分)</t>
        </is>
      </c>
      <c r="F8" s="2" t="inlineStr">
        <is>
          <t>42.3% (182/430分)</t>
        </is>
      </c>
      <c r="G8" s="2" t="inlineStr">
        <is>
          <t>99.8% (429/430分)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98.4% (423/430分)</t>
        </is>
      </c>
      <c r="C11" s="2" t="inlineStr">
        <is>
          <t>26.3% (113/430分)</t>
        </is>
      </c>
      <c r="D11" s="2" t="inlineStr">
        <is>
          <t>99.1% (233/235分)</t>
        </is>
      </c>
      <c r="E11" s="2" t="inlineStr">
        <is>
          <t>70.5% (303/430分)</t>
        </is>
      </c>
      <c r="F11" s="2" t="inlineStr">
        <is>
          <t>12.3% (53/430分)</t>
        </is>
      </c>
      <c r="G11" s="2" t="inlineStr">
        <is>
          <t>0.0% (0/195分)</t>
        </is>
      </c>
    </row>
    <row r="12">
      <c r="A12" s="2" t="inlineStr">
        <is>
          <t>2026/04/07 (Tue)</t>
        </is>
      </c>
      <c r="B12" s="2" t="inlineStr">
        <is>
          <t>63.0% (271/430分)</t>
        </is>
      </c>
      <c r="C12" s="2" t="inlineStr">
        <is>
          <t>49.3% (212/430分)</t>
        </is>
      </c>
      <c r="D12" s="2" t="inlineStr">
        <is>
          <t>94.2% (405/430分)</t>
        </is>
      </c>
      <c r="E12" s="2" t="inlineStr">
        <is>
          <t>97.4% (419/430分)</t>
        </is>
      </c>
      <c r="F12" s="2" t="inlineStr">
        <is>
          <t>31.2% (134/430分)</t>
        </is>
      </c>
      <c r="G12" s="2" t="inlineStr">
        <is>
          <t>97.4% (419/430分)</t>
        </is>
      </c>
    </row>
    <row r="13">
      <c r="A13" s="2" t="inlineStr">
        <is>
          <t>2026/04/08 (Wed)</t>
        </is>
      </c>
      <c r="B13" s="2" t="inlineStr">
        <is>
          <t>3.5% (15/430分)</t>
        </is>
      </c>
      <c r="C13" s="2" t="inlineStr">
        <is>
          <t>98.4% (423/430分)</t>
        </is>
      </c>
      <c r="D13" s="2" t="inlineStr">
        <is>
          <t>69.1% (297/430分)</t>
        </is>
      </c>
      <c r="E13" s="2" t="inlineStr">
        <is>
          <t>休</t>
        </is>
      </c>
      <c r="F13" s="2" t="inlineStr">
        <is>
          <t>98.4% (423/430分)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98.8% (425/430分)</t>
        </is>
      </c>
      <c r="C14" s="2" t="inlineStr">
        <is>
          <t>97.9% (421/430分)</t>
        </is>
      </c>
      <c r="D14" s="2" t="inlineStr">
        <is>
          <t>98.8% (425/430分)</t>
        </is>
      </c>
      <c r="E14" s="2" t="inlineStr">
        <is>
          <t>97.9% (421/430分)</t>
        </is>
      </c>
      <c r="F14" s="2" t="inlineStr">
        <is>
          <t>98.8% (425/430分)</t>
        </is>
      </c>
      <c r="G14" s="2" t="inlineStr">
        <is>
          <t>98.8% (425/430分)</t>
        </is>
      </c>
    </row>
    <row r="15">
      <c r="A15" s="2" t="inlineStr">
        <is>
          <t>2026/04/10 (Fri)</t>
        </is>
      </c>
      <c r="B15" s="2" t="inlineStr">
        <is>
          <t>97.9% (421/430分)</t>
        </is>
      </c>
      <c r="C15" s="2" t="inlineStr">
        <is>
          <t>95.1% (409/430分)</t>
        </is>
      </c>
      <c r="D15" s="2" t="inlineStr">
        <is>
          <t>97.9% (421/430分)</t>
        </is>
      </c>
      <c r="E15" s="2" t="inlineStr">
        <is>
          <t>95.1% (409/430分)</t>
        </is>
      </c>
      <c r="F15" s="2" t="inlineStr">
        <is>
          <t>21.2% (91/430分)</t>
        </is>
      </c>
      <c r="G15" s="2" t="inlineStr">
        <is>
          <t>97.9% (421/430分)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98.4% (423/430分)</t>
        </is>
      </c>
      <c r="D18" s="2" t="inlineStr">
        <is>
          <t>98.4% (423/430分)</t>
        </is>
      </c>
      <c r="E18" s="2" t="inlineStr">
        <is>
          <t>98.4% (423/430分)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2026/04/14 (Tue)</t>
        </is>
      </c>
      <c r="B19" s="2" t="inlineStr">
        <is>
          <t>0.0% (0/430分)</t>
        </is>
      </c>
      <c r="C19" s="2" t="inlineStr">
        <is>
          <t>98.6% (424/430分)</t>
        </is>
      </c>
      <c r="D19" s="2" t="inlineStr">
        <is>
          <t>98.6% (424/430分)</t>
        </is>
      </c>
      <c r="E19" s="2" t="inlineStr">
        <is>
          <t>98.6% (424/430分)</t>
        </is>
      </c>
      <c r="F19" s="2" t="inlineStr">
        <is>
          <t>95.1% (409/430分)</t>
        </is>
      </c>
      <c r="G19" s="2" t="inlineStr">
        <is>
          <t>95.1% (409/430分)</t>
        </is>
      </c>
    </row>
    <row r="20">
      <c r="A20" s="2" t="inlineStr">
        <is>
          <t>2026/04/15 (Wed)</t>
        </is>
      </c>
      <c r="B20" s="2" t="inlineStr">
        <is>
          <t>21.9% (94/430分)</t>
        </is>
      </c>
      <c r="C20" s="2" t="inlineStr">
        <is>
          <t>99.1% (426/430分)</t>
        </is>
      </c>
      <c r="D20" s="2" t="inlineStr">
        <is>
          <t>56.2% (132/235分)</t>
        </is>
      </c>
      <c r="E20" s="2" t="inlineStr">
        <is>
          <t>97.4% (419/430分)</t>
        </is>
      </c>
      <c r="F20" s="2" t="inlineStr">
        <is>
          <t>30.7% (132/430分)</t>
        </is>
      </c>
      <c r="G20" s="2" t="inlineStr">
        <is>
          <t>97.4% (419/430分)</t>
        </is>
      </c>
    </row>
    <row r="21">
      <c r="A21" s="2" t="inlineStr">
        <is>
          <t>2026/04/16 (Thu)</t>
        </is>
      </c>
      <c r="B21" s="2" t="inlineStr">
        <is>
          <t>99.8% (429/430分)</t>
        </is>
      </c>
      <c r="C21" s="2" t="inlineStr">
        <is>
          <t>97.0% (417/430分)</t>
        </is>
      </c>
      <c r="D21" s="2" t="inlineStr">
        <is>
          <t>97.0% (417/430分)</t>
        </is>
      </c>
      <c r="E21" s="2" t="inlineStr">
        <is>
          <t>99.5% (428/430分)</t>
        </is>
      </c>
      <c r="F21" s="2" t="inlineStr">
        <is>
          <t>93.7% (403/430分)</t>
        </is>
      </c>
      <c r="G21" s="2" t="inlineStr">
        <is>
          <t>99.8% (429/430分)</t>
        </is>
      </c>
    </row>
    <row r="22">
      <c r="A22" s="2" t="inlineStr">
        <is>
          <t>2026/04/17 (Fri)</t>
        </is>
      </c>
      <c r="B22" s="2" t="inlineStr">
        <is>
          <t>3.5% (15/430分)</t>
        </is>
      </c>
      <c r="C22" s="2" t="inlineStr">
        <is>
          <t>98.1% (422/430分)</t>
        </is>
      </c>
      <c r="D22" s="2" t="inlineStr">
        <is>
          <t>98.1% (422/430分)</t>
        </is>
      </c>
      <c r="E22" s="2" t="inlineStr">
        <is>
          <t>12.8% (55/430分)</t>
        </is>
      </c>
      <c r="F22" s="2" t="inlineStr">
        <is>
          <t>88.4% (380/430分)</t>
        </is>
      </c>
      <c r="G22" s="2" t="inlineStr">
        <is>
          <t>3.5% (15/430分)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77.2% (332/430分)</t>
        </is>
      </c>
      <c r="D25" s="2" t="inlineStr">
        <is>
          <t>77.2% (332/430分)</t>
        </is>
      </c>
      <c r="E25" s="2" t="inlineStr">
        <is>
          <t>0.0% (0/430分)</t>
        </is>
      </c>
      <c r="F25" s="2" t="inlineStr">
        <is>
          <t>77.2% (332/430分)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2026/03/28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2026/03/28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4/1は工場は臨時休業になりました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"4月1日は工場が臨時休業となるため、この日の配台計画は不要です。"}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2026/03/28 23:04:24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2026-03-28T22:27:56
  呼出し 1 回 / 入力 706 / 出力 66 / 思考 730 / total 報告 1,502
  推定料金累計(USD): $0.000292
  推定料金累計(JPY・150円/USD): ¥0.04
  --- 累計 モデル: gemini-2.5-flash ---
    呼出し: 1 回
    入力: 706 / 出力: 66
    思考: 730
    推定料金累計(USD): $0.000292
    推定料金累計(JPY): ¥0.04
【期間別集計】（トレンドは log の CSV を Excel でグラフ化）
  （period_key は PC ローカル時刻（datetime.now）で付与。他 PC との集計は混ぜないでください。）
  [年]
  2026  呼出し 1 回  入力 706  出力 66  思考 730  推定USD $0.000292  推定JPY ¥0.04
  [月（新しい順・最大12）]
  2026-03  呼出し 1 回  入力 706  出力 66  思考 730  推定USD $0.000292  推定JPY ¥0.04
  [週 ISO（新しい順・最大8）]
  2026-W13  呼出し 1 回  入力 706  出力 66  思考 730  推定USD $0.000292  推定JPY ¥0.04
  [日（新しい順・最大14）]
  2026-03-28  呼出し 1 回  入力 706  出力 66  思考 730  推定USD $0.000292  推定JPY ¥0.04
  [時間（新しい順・最大48）]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2026-03-28T14:04:24Z</dcterms:created>
  <dcterms:modified xsi:type="dcterms:W3CDTF">2026-03-28T14:04:26Z</dcterms:modified>
</cp:coreProperties>
</file>
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ED35D1CC-8D82-4381-93F1-3F956EA7B376}" xr6:coauthVersionLast="47" xr6:coauthVersionMax="47" xr10:uidLastSave="{00000000-0000-0000-0000-000000000000}"/>
  <bookViews>
    <workbookView xWindow="-120" yWindow="-120" windowWidth="29040" windowHeight="15720" firstSheet="1" activeTab="2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3月カレンダー" sheetId="9" r:id="rId5"/>
    <sheet name="4月カレンダー" sheetId="10" r:id="rId6"/>
    <sheet name="2026年5月カレンダー" sheetId="24" r:id="rId7"/>
    <sheet name="2026年6月カレンダー" sheetId="25" r:id="rId8"/>
    <sheet name="図司　智子" sheetId="3" r:id="rId9"/>
    <sheet name="宮島　　剛" sheetId="4" r:id="rId10"/>
    <sheet name="冨田　裕子" sheetId="5" r:id="rId11"/>
    <sheet name="森岡　真由美" sheetId="6" r:id="rId12"/>
    <sheet name="竹内　正美" sheetId="7" r:id="rId13"/>
    <sheet name="菅沼　めぐみ" sheetId="8" r:id="rId14"/>
    <sheet name="細川　守" sheetId="12" r:id="rId15"/>
    <sheet name="砂田　　奈美" sheetId="13" r:id="rId16"/>
    <sheet name="古家　　淳子" sheetId="14" r:id="rId17"/>
    <sheet name="森下　　誠" sheetId="15" r:id="rId18"/>
    <sheet name="小川　達也" sheetId="16" r:id="rId19"/>
    <sheet name="西田   憲史" sheetId="17" r:id="rId20"/>
    <sheet name="近藤　清高" sheetId="18" r:id="rId21"/>
    <sheet name="桐生　弘幸" sheetId="19" r:id="rId22"/>
    <sheet name="山本" sheetId="20" r:id="rId23"/>
    <sheet name="_FontPick" sheetId="22" state="veryHidden" r:id="rId24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AI26" i="24"/>
  <c r="AI25" i="24"/>
  <c r="AI23" i="24"/>
  <c r="AI22" i="24"/>
  <c r="AI21" i="24"/>
  <c r="AI20" i="24"/>
  <c r="AI19" i="24"/>
  <c r="AI17" i="24"/>
  <c r="AI16" i="24"/>
  <c r="AI15" i="24"/>
  <c r="AI13" i="24"/>
  <c r="AI12" i="24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K28" i="24" a="1"/>
  <c r="AK28" i="24" s="1"/>
  <c r="AK31" i="24" s="1"/>
  <c r="AK29" i="24" a="1"/>
  <c r="AK29" i="24" s="1"/>
  <c r="AI29" i="24" s="1" a="1"/>
  <c r="AI29" i="24" s="1"/>
  <c r="AI29" i="25" a="1"/>
  <c r="AI29" i="25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K28" i="25" a="1"/>
  <c r="AK28" i="25" s="1"/>
  <c r="AK31" i="25" s="1"/>
  <c r="AI30" i="24" a="1"/>
  <c r="AI30" i="24" s="1"/>
  <c r="AI29" i="10" a="1"/>
  <c r="AI29" i="10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8" i="25" l="1" a="1"/>
  <c r="AI28" i="25" s="1"/>
  <c r="AI27" i="25" s="1"/>
  <c r="AI28" i="24" a="1"/>
  <c r="AI28" i="24" s="1"/>
  <c r="AI27" i="24" s="1"/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1784D96-6F03-4BB3-BE38-4328A94B80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9B395F3E-7DC9-41CD-AAF6-B6EC08AA4C2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4E4A8720-36EB-4896-BBFB-70CEA5C560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F8A3B38-B16E-4A43-99C9-6DC18990CBA3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9ECD6F9-53CE-4E33-B168-DBA67711382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2BF1699-25E6-4DCC-9AEE-19C48C6B8A6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7863170F-F66B-4C7F-B287-1864E69AD3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A543DF23-A619-4DCF-A535-94D0A301FF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<sst xmlns="http://schemas.openxmlformats.org/spreadsheetml/2006/main" count="3123" uniqueCount="231">
  <si>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</si>
  <si>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</si>
  <si>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</si>
  <si>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</si>
  <si>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</si>
  <si>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</si>
  <si>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</si>
  <si>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</si>
  <si>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</si>
  <si>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</si>
  <si>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</si>
  <si>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</si>
  <si>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</si>
  <si>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</si>
  <si>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</si>
  <si>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</si>
  <si>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</si>
  <si>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</si>
  <si>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</si>
  <si>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</si>
  <si>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</si>
  <si>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</si>
  <si>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</si>
  <si>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</si>
  <si>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</si>
  <si>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</si>
  <si>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</si>
  <si>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</si>
  <si>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</si>
  <si>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</si>
  <si>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</si>
  <si>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</si>
  <si>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</si>
  <si>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</si>
  <si>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</si>
  <si>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</si>
  <si>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</si>
  <si>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</si>
  <si>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</si>
  <si>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</si>
  <si>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</si>
  <si>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</si>
  <si>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</si>
  <si>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</si>
  <si>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</si>
  <si>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</si>
  <si>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</si>
  <si>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</si>
  <si>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</si>
  <si>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</si>
  <si>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</si>
  <si>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</si>
  <si>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</si>
  <si>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</si>
  <si>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</si>
  <si>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</si>
  <si>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</si>
  <si>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</si>
  <si>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</si>
  <si>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</si>
  <si>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</si>
  <si>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</si>
  <si>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</si>
  <si>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</si>
  <si>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</si>
  <si>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</si>
  <si>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</si>
  <si>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</si>
  <si>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</si>
  <si>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</si>
  <si>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</si>
  <si>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</si>
  <si>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</si>
  <si>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</si>
  <si>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</si>
  <si>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</si>
  <si>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</si>
  <si>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</si>
  <si>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</si>
  <si>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</si>
  <si>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</si>
  <si>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</si>
  <si>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</si>
  <si>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</si>
  <si>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</si>
  <si>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</si>
  <si>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</si>
  <si>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</si>
  <si>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</si>
  <si>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</si>
  <si>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</si>
  <si>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</si>
  <si>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</si>
  <si>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</si>
  <si>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</si>
  <si>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</si>
  <si>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</si>
  <si>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</si>
  <si>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</si>
  <si>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</si>
  <si>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</si>
  <si>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</si>
  <si>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</si>
  <si>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</si>
  <si>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</si>
  <si>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</si>
  <si>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</si>
  <si>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</si>
  <si>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</si>
  <si>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</si>
  <si>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</si>
  <si>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</si>
  <si>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</si>
  <si>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</si>
  <si>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</si>
  <si>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</si>
  <si>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</si>
  <si>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</si>
  <si>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</si>
  <si>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</si>
  <si>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</si>
  <si>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</si>
  <si>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</si>
  <si>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</si>
  <si>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</si>
  <si>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</si>
  <si>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</si>
  <si>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</si>
  <si>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</si>
  <si>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</si>
  <si>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</si>
  <si>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</si>
  <si>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</si>
  <si>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</si>
  <si>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</si>
  <si>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</si>
  <si>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</si>
  <si>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</si>
  <si>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</si>
  <si>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</si>
  <si>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</si>
  <si>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</si>
  <si>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</si>
  <si>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</si>
  <si>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</si>
  <si>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</si>
  <si>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</si>
  <si>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</si>
  <si>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</si>
  <si>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</si>
  <si>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</si>
  <si>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</si>
  <si>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</si>
  <si>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</si>
  <si>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</si>
  <si>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</si>
  <si>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</si>
  <si>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</si>
  <si>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</si>
  <si>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</si>
  <si>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</si>
  <si>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</si>
  <si>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</si>
  <si>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</si>
  <si>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</si>
  <si>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</si>
  <si>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</si>
  <si>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</si>
  <si>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</si>
  <si>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</si>
  <si>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</si>
  <si>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</si>
  <si>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</si>
  <si>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</si>
  <si>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</si>
  <si>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</si>
  <si>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</si>
  <si>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</si>
  <si>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</si>
  <si>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</si>
  <si>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</si>
  <si>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</si>
  <si>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</si>
  <si>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</si>
  <si>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</si>
  <si>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</si>
  <si>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</si>
  <si>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</si>
  <si>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</si>
  <si>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</si>
  <si>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</si>
  <si>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</si>
  <si>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</si>
  <si>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</si>
  <si>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</si>
  <si>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</si>
  <si>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事務処理業務の為、配台不可</t>
    <rPh sb="9" eb="11">
      <t>ハイダイ</t>
    </rPh>
    <rPh sb="11" eb="13">
      <t>フカ</t>
    </rPh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</si>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</sst>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BFBFBF" tint="-0.24994659260841701"/>
        <bgColor rgb="FF000000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17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14" fontId="0" fillId="0" borderId="0" xfId="0" applyNumberFormat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0" fontId="0" fillId="0" borderId="5" xfId="0" applyBorder="1">
      <alignment vertical="center"/>
    </xf>
    <xf numFmtId="181" fontId="0" fillId="0" borderId="8" xfId="0" applyNumberFormat="1" applyBorder="1">
      <alignment vertical="center"/>
    </xf>
    <xf numFmtId="182" fontId="0" fillId="0" borderId="8" xfId="0" applyNumberFormat="1" applyBorder="1">
      <alignment vertical="center"/>
    </xf>
    <xf numFmtId="0" fontId="0" fillId="0" borderId="8" xfId="0" applyBorder="1">
      <alignment vertical="center"/>
    </xf>
    <xf numFmtId="0" fontId="11" fillId="2" borderId="0" xfId="0" applyFont="1" applyFill="1">
      <alignment vertical="center"/>
    </xf>
    <xf numFmtId="177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0" fontId="11" fillId="0" borderId="0" xfId="0" applyFont="1">
      <alignment vertical="center"/>
    </xf>
    <xf numFmtId="0" fontId="0" fillId="2" borderId="0" xfId="0" applyFill="1">
      <alignment vertical="center"/>
    </xf>
    <xf numFmtId="0" fontId="11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5" xfId="0" applyFont="1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2" fontId="0" fillId="0" borderId="5" xfId="0" applyNumberFormat="1" applyBorder="1">
      <alignment vertical="center"/>
    </xf>
    <xf numFmtId="0" fontId="11" fillId="3" borderId="5" xfId="0" applyFont="1" applyFill="1" applyBorder="1" applyAlignment="1">
      <alignment horizontal="right" vertical="center"/>
    </xf>
    <xf numFmtId="14" fontId="2" fillId="0" borderId="0" xfId="1" applyNumberFormat="1">
      <alignment vertical="center"/>
    </xf>
    <xf numFmtId="0" fontId="2" fillId="0" borderId="0" xfId="1">
      <alignment vertical="center"/>
    </xf>
    <xf numFmtId="0" fontId="11" fillId="2" borderId="0" xfId="1" applyFont="1" applyFill="1">
      <alignment vertical="center"/>
    </xf>
    <xf numFmtId="177" fontId="12" fillId="0" borderId="0" xfId="1" applyNumberFormat="1" applyFont="1">
      <alignment vertical="center"/>
    </xf>
    <xf numFmtId="178" fontId="12" fillId="0" borderId="0" xfId="1" applyNumberFormat="1" applyFont="1">
      <alignment vertical="center"/>
    </xf>
    <xf numFmtId="0" fontId="11" fillId="0" borderId="0" xfId="1" applyFont="1">
      <alignment vertical="center"/>
    </xf>
    <xf numFmtId="0" fontId="2" fillId="2" borderId="0" xfId="1" applyFill="1">
      <alignment vertical="center"/>
    </xf>
    <xf numFmtId="0" fontId="11" fillId="2" borderId="1" xfId="1" applyFont="1" applyFill="1" applyBorder="1">
      <alignment vertical="center"/>
    </xf>
    <xf numFmtId="0" fontId="2" fillId="0" borderId="2" xfId="1" applyBorder="1">
      <alignment vertical="center"/>
    </xf>
    <xf numFmtId="0" fontId="2" fillId="0" borderId="3" xfId="1" applyBorder="1">
      <alignment vertical="center"/>
    </xf>
    <xf numFmtId="0" fontId="2" fillId="0" borderId="4" xfId="1" applyBorder="1">
      <alignment vertical="center"/>
    </xf>
    <xf numFmtId="0" fontId="2" fillId="0" borderId="5" xfId="1" applyBorder="1">
      <alignment vertical="center"/>
    </xf>
    <xf numFmtId="0" fontId="11" fillId="0" borderId="5" xfId="1" applyFont="1" applyBorder="1">
      <alignment vertical="center"/>
    </xf>
    <xf numFmtId="179" fontId="2" fillId="0" borderId="0" xfId="1" applyNumberFormat="1">
      <alignment vertical="center"/>
    </xf>
    <xf numFmtId="180" fontId="2" fillId="0" borderId="5" xfId="1" applyNumberFormat="1" applyBorder="1">
      <alignment vertical="center"/>
    </xf>
    <xf numFmtId="176" fontId="2" fillId="0" borderId="0" xfId="1" applyNumberFormat="1">
      <alignment vertical="center"/>
    </xf>
    <xf numFmtId="176" fontId="2" fillId="0" borderId="5" xfId="1" applyNumberFormat="1" applyBorder="1">
      <alignment vertical="center"/>
    </xf>
    <xf numFmtId="2" fontId="2" fillId="0" borderId="5" xfId="1" applyNumberFormat="1" applyBorder="1">
      <alignment vertical="center"/>
    </xf>
    <xf numFmtId="0" fontId="11" fillId="3" borderId="5" xfId="1" applyFont="1" applyFill="1" applyBorder="1" applyAlignment="1">
      <alignment horizontal="right" vertical="center"/>
    </xf>
    <xf numFmtId="179" fontId="11" fillId="0" borderId="5" xfId="0" applyNumberFormat="1" applyFont="1" applyBorder="1" applyAlignment="1">
      <alignment horizontal="center" vertical="center"/>
    </xf>
    <xf numFmtId="179" fontId="11" fillId="11" borderId="5" xfId="0" applyNumberFormat="1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11" borderId="5" xfId="0" applyNumberFormat="1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179" fontId="11" fillId="0" borderId="5" xfId="1" applyNumberFormat="1" applyFont="1" applyBorder="1" applyAlignment="1">
      <alignment horizontal="center" vertical="center"/>
    </xf>
    <xf numFmtId="179" fontId="11" fillId="11" borderId="5" xfId="1" applyNumberFormat="1" applyFont="1" applyFill="1" applyBorder="1" applyAlignment="1">
      <alignment horizontal="center" vertical="center"/>
    </xf>
    <xf numFmtId="179" fontId="11" fillId="5" borderId="5" xfId="1" applyNumberFormat="1" applyFont="1" applyFill="1" applyBorder="1" applyAlignment="1">
      <alignment horizontal="center" vertical="center"/>
    </xf>
    <xf numFmtId="0" fontId="11" fillId="0" borderId="5" xfId="1" applyFont="1" applyBorder="1" applyAlignment="1">
      <alignment horizontal="center" vertical="center"/>
    </xf>
    <xf numFmtId="176" fontId="11" fillId="0" borderId="5" xfId="1" applyNumberFormat="1" applyFont="1" applyBorder="1" applyAlignment="1">
      <alignment horizontal="center" vertical="center"/>
    </xf>
    <xf numFmtId="176" fontId="11" fillId="11" borderId="5" xfId="1" applyNumberFormat="1" applyFont="1" applyFill="1" applyBorder="1" applyAlignment="1">
      <alignment horizontal="center" vertical="center"/>
    </xf>
    <xf numFmtId="176" fontId="11" fillId="5" borderId="5" xfId="1" applyNumberFormat="1" applyFont="1" applyFill="1" applyBorder="1" applyAlignment="1">
      <alignment horizontal="center" vertical="center"/>
    </xf>
    <xf numFmtId="0" fontId="11" fillId="11" borderId="5" xfId="1" applyFont="1" applyFill="1" applyBorder="1" applyAlignment="1">
      <alignment horizontal="center" vertical="center"/>
    </xf>
    <xf numFmtId="0" fontId="11" fillId="5" borderId="5" xfId="1" applyFont="1" applyFill="1" applyBorder="1" applyAlignment="1">
      <alignment horizontal="center" vertical="center"/>
    </xf>
    <xf numFmtId="0" fontId="11" fillId="4" borderId="5" xfId="1" applyFont="1" applyFill="1" applyBorder="1" applyAlignment="1">
      <alignment horizontal="center" vertical="center"/>
    </xf>
    <xf numFmtId="0" fontId="11" fillId="6" borderId="5" xfId="1" applyFont="1" applyFill="1" applyBorder="1" applyAlignment="1">
      <alignment horizontal="center" vertical="center"/>
    </xf>
    <xf numFmtId="0" fontId="3" fillId="8" borderId="5" xfId="0" applyFont="1" applyFill="1" applyBorder="1">
      <alignment vertical="center"/>
    </xf>
    <xf numFmtId="0" fontId="3" fillId="8" borderId="7" xfId="0" applyFont="1" applyFill="1" applyBorder="1">
      <alignment vertical="center"/>
    </xf>
    <xf numFmtId="0" fontId="4" fillId="0" borderId="5" xfId="0" applyFont="1" applyBorder="1">
      <alignment vertical="center"/>
    </xf>
    <xf numFmtId="0" fontId="13" fillId="12" borderId="9" xfId="0" applyFont="1" applyFill="1" applyBorder="1" applyAlignment="1">
      <alignment horizontal="center" vertical="center"/>
    </xf>
    <xf numFmtId="0" fontId="14" fillId="13" borderId="9" xfId="0" applyFont="1" applyFill="1" applyBorder="1">
      <alignment vertical="center"/>
    </xf>
    <xf numFmtId="0" fontId="14" fillId="14" borderId="9" xfId="0" applyFont="1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78760" cy="62547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27FB097B-C5B8-4936-A763-9963DBC3CAD7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workbookViewId="0">
      <selection activeCell="O17" sqref="O17"/>
    </sheetView>
  </sheetViews>
  <sheetFormatPr defaultRowHeight="18.75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O8"/>
  <sheetViews>
    <sheetView zoomScaleNormal="100" workbookViewId="0">
      <selection activeCell="D27" sqref="A1:XFD1048576"/>
    </sheetView>
  </sheetViews>
  <sheetFormatPr defaultRowHeight="18.75"/>
  <cols>
    <col min="1" max="1" width="12.625" style="1" bestFit="1" customWidth="1"/>
    <col min="2" max="3" width="11.625" bestFit="1" customWidth="1"/>
    <col min="4" max="5" width="14.625" bestFit="1" customWidth="1"/>
    <col min="6" max="7" width="13.125" bestFit="1" customWidth="1"/>
    <col min="8" max="10" width="16.875" bestFit="1" customWidth="1"/>
    <col min="11" max="13" width="17.125" bestFit="1" customWidth="1"/>
    <col min="14" max="15" width="14.125" bestFit="1" customWidth="1"/>
  </cols>
  <sheetData>
    <row r="1" spans="1:15">
      <c r="A1" s="111" t="s">
        <v>125</v>
      </c>
      <c r="B1" s="111" t="s">
        <v>2</v>
      </c>
      <c r="C1" s="111" t="s">
        <v>134</v>
      </c>
      <c r="D1" s="111" t="s">
        <v>7</v>
      </c>
      <c r="E1" s="111" t="s">
        <v>133</v>
      </c>
      <c r="F1" s="111" t="s">
        <v>2</v>
      </c>
      <c r="G1" s="111" t="s">
        <v>3</v>
      </c>
      <c r="H1" s="111" t="s">
        <v>4</v>
      </c>
      <c r="I1" s="111" t="s">
        <v>133</v>
      </c>
      <c r="J1" s="111" t="s">
        <v>134</v>
      </c>
      <c r="K1" s="111" t="s">
        <v>5</v>
      </c>
      <c r="L1" s="111" t="s">
        <v>133</v>
      </c>
      <c r="M1" s="111" t="s">
        <v>134</v>
      </c>
      <c r="N1" s="111" t="s">
        <v>6</v>
      </c>
      <c r="O1" s="111" t="s">
        <v>134</v>
      </c>
    </row>
    <row r="2" spans="1:15">
      <c r="A2" s="111" t="s">
        <v>126</v>
      </c>
      <c r="B2" s="111" t="s">
        <v>127</v>
      </c>
      <c r="C2" s="111" t="s">
        <v>127</v>
      </c>
      <c r="D2" s="112" t="s">
        <v>132</v>
      </c>
      <c r="E2" s="111" t="s">
        <v>132</v>
      </c>
      <c r="F2" s="111" t="s">
        <v>128</v>
      </c>
      <c r="G2" s="111" t="s">
        <v>128</v>
      </c>
      <c r="H2" s="111" t="s">
        <v>129</v>
      </c>
      <c r="I2" s="111" t="s">
        <v>129</v>
      </c>
      <c r="J2" s="111" t="s">
        <v>129</v>
      </c>
      <c r="K2" s="111" t="s">
        <v>130</v>
      </c>
      <c r="L2" s="111" t="s">
        <v>130</v>
      </c>
      <c r="M2" s="111" t="s">
        <v>130</v>
      </c>
      <c r="N2" s="111" t="s">
        <v>131</v>
      </c>
      <c r="O2" s="111" t="s">
        <v>131</v>
      </c>
    </row>
    <row r="3" spans="1:15">
      <c r="A3" s="113" t="s">
        <v>108</v>
      </c>
      <c r="B3" s="113"/>
      <c r="C3" s="113"/>
      <c r="D3" s="113" t="s">
        <v>197</v>
      </c>
      <c r="E3" s="113" t="s">
        <v>198</v>
      </c>
      <c r="F3" s="113" t="s">
        <v>197</v>
      </c>
      <c r="G3" s="113" t="s">
        <v>197</v>
      </c>
      <c r="H3" s="113" t="s">
        <v>197</v>
      </c>
      <c r="I3" s="113" t="s">
        <v>197</v>
      </c>
      <c r="J3" s="113" t="s">
        <v>197</v>
      </c>
      <c r="K3" s="113" t="s">
        <v>197</v>
      </c>
      <c r="L3" s="113" t="s">
        <v>197</v>
      </c>
      <c r="M3" s="113" t="s">
        <v>197</v>
      </c>
      <c r="N3" s="113" t="s">
        <v>197</v>
      </c>
      <c r="O3" s="113" t="s">
        <v>197</v>
      </c>
    </row>
    <row r="4" spans="1:15">
      <c r="A4" s="113" t="s">
        <v>109</v>
      </c>
      <c r="B4" s="113" t="s">
        <v>199</v>
      </c>
      <c r="C4" s="113" t="s">
        <v>199</v>
      </c>
      <c r="D4" s="113" t="s">
        <v>200</v>
      </c>
      <c r="E4" s="113" t="s">
        <v>201</v>
      </c>
      <c r="F4" s="113" t="s">
        <v>201</v>
      </c>
      <c r="G4" s="113" t="s">
        <v>202</v>
      </c>
      <c r="H4" s="113" t="s">
        <v>199</v>
      </c>
      <c r="I4" s="113" t="s">
        <v>199</v>
      </c>
      <c r="J4" s="113" t="s">
        <v>199</v>
      </c>
      <c r="K4" s="113" t="s">
        <v>198</v>
      </c>
      <c r="L4" s="113" t="s">
        <v>198</v>
      </c>
      <c r="M4" s="113" t="s">
        <v>198</v>
      </c>
      <c r="N4" s="113" t="s">
        <v>198</v>
      </c>
      <c r="O4" s="113" t="s">
        <v>198</v>
      </c>
    </row>
    <row r="5" spans="1:15">
      <c r="A5" s="113" t="s">
        <v>110</v>
      </c>
      <c r="B5" s="113" t="s">
        <v>203</v>
      </c>
      <c r="C5" s="113" t="s">
        <v>203</v>
      </c>
      <c r="D5" s="113" t="s">
        <v>201</v>
      </c>
      <c r="E5" s="113" t="s">
        <v>200</v>
      </c>
      <c r="F5" s="113" t="s">
        <v>199</v>
      </c>
      <c r="G5" s="113" t="s">
        <v>199</v>
      </c>
      <c r="H5" s="113" t="s">
        <v>198</v>
      </c>
      <c r="I5" s="113" t="s">
        <v>198</v>
      </c>
      <c r="J5" s="113" t="s">
        <v>198</v>
      </c>
      <c r="K5" s="113" t="s">
        <v>202</v>
      </c>
      <c r="L5" s="113" t="s">
        <v>202</v>
      </c>
      <c r="M5" s="113" t="s">
        <v>202</v>
      </c>
      <c r="N5" s="113" t="s">
        <v>199</v>
      </c>
      <c r="O5" s="113" t="s">
        <v>199</v>
      </c>
    </row>
    <row r="6" spans="1:15">
      <c r="A6" s="113" t="s">
        <v>111</v>
      </c>
      <c r="B6" s="113"/>
      <c r="C6" s="113"/>
      <c r="D6" s="113" t="s">
        <v>198</v>
      </c>
      <c r="E6" s="113" t="s">
        <v>202</v>
      </c>
      <c r="F6" s="113" t="s">
        <v>198</v>
      </c>
      <c r="G6" s="113" t="s">
        <v>198</v>
      </c>
      <c r="H6" s="113" t="s">
        <v>204</v>
      </c>
      <c r="I6" s="113" t="s">
        <v>204</v>
      </c>
      <c r="J6" s="113" t="s">
        <v>204</v>
      </c>
      <c r="K6" s="113" t="s">
        <v>199</v>
      </c>
      <c r="L6" s="113" t="s">
        <v>199</v>
      </c>
      <c r="M6" s="113" t="s">
        <v>199</v>
      </c>
      <c r="N6" s="113" t="s">
        <v>202</v>
      </c>
      <c r="O6" s="113" t="s">
        <v>202</v>
      </c>
    </row>
    <row r="7" spans="1:15">
      <c r="A7" s="113" t="s">
        <v>112</v>
      </c>
      <c r="B7" s="113" t="s">
        <v>201</v>
      </c>
      <c r="C7" s="113" t="s">
        <v>201</v>
      </c>
      <c r="D7" s="113" t="s">
        <v>199</v>
      </c>
      <c r="E7" s="113" t="s">
        <v>199</v>
      </c>
      <c r="F7" s="113" t="s">
        <v>203</v>
      </c>
      <c r="G7" s="113" t="s">
        <v>203</v>
      </c>
      <c r="H7" s="113" t="s">
        <v>203</v>
      </c>
      <c r="I7" s="113" t="s">
        <v>203</v>
      </c>
      <c r="J7" s="113" t="s">
        <v>203</v>
      </c>
      <c r="K7" s="113" t="s">
        <v>203</v>
      </c>
      <c r="L7" s="113" t="s">
        <v>203</v>
      </c>
      <c r="M7" s="113" t="s">
        <v>203</v>
      </c>
      <c r="N7" s="113" t="s">
        <v>204</v>
      </c>
      <c r="O7" s="113" t="s">
        <v>204</v>
      </c>
    </row>
    <row r="8" spans="1:15">
      <c r="A8" s="113" t="s">
        <v>113</v>
      </c>
      <c r="B8" s="113"/>
      <c r="C8" s="113"/>
      <c r="D8" s="113" t="s">
        <v>202</v>
      </c>
      <c r="E8" s="113" t="s">
        <v>205</v>
      </c>
      <c r="F8" s="113" t="s">
        <v>206</v>
      </c>
      <c r="G8" s="113" t="s">
        <v>204</v>
      </c>
      <c r="H8" s="113" t="s">
        <v>206</v>
      </c>
      <c r="I8" s="113" t="s">
        <v>206</v>
      </c>
      <c r="J8" s="113" t="s">
        <v>206</v>
      </c>
      <c r="K8" s="113" t="s">
        <v>204</v>
      </c>
      <c r="L8" s="113" t="s">
        <v>204</v>
      </c>
      <c r="M8" s="113" t="s">
        <v>204</v>
      </c>
      <c r="N8" s="113" t="s">
        <v>203</v>
      </c>
      <c r="O8" s="113" t="s">
        <v>203</v>
      </c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I115"/>
  <sheetViews>
    <sheetView tabSelected="1" workbookViewId="0">
      <pane ySplit="1" topLeftCell="A2" activePane="bottomLeft" state="frozen"/>
      <selection pane="bottomLeft" activeCell="J16" sqref="J16"/>
    </sheetView>
  </sheetViews>
  <sheetFormatPr defaultRowHeight="18.75"/>
  <cols>
    <col min="2" max="2" width="18.375" bestFit="1" customWidth="1"/>
    <col min="3" max="3" width="28.125" bestFit="1" customWidth="1"/>
    <col min="4" max="4" width="9.25" bestFit="1" customWidth="1"/>
    <col min="5" max="5" width="13.25" bestFit="1" customWidth="1"/>
    <col min="6" max="8" width="13" bestFit="1" customWidth="1"/>
    <col min="9" max="9" width="5.5" bestFit="1" customWidth="1"/>
  </cols>
  <sheetData>
    <row r="1" spans="1:9">
      <c r="A1" s="114" t="s">
        <v>207</v>
      </c>
      <c r="B1" s="114" t="s">
        <v>208</v>
      </c>
      <c r="C1" s="114" t="s">
        <v>209</v>
      </c>
      <c r="D1" s="114" t="s">
        <v>210</v>
      </c>
      <c r="E1" s="114" t="s">
        <v>211</v>
      </c>
      <c r="F1" s="114" t="s">
        <v>212</v>
      </c>
      <c r="G1" s="114" t="s">
        <v>213</v>
      </c>
      <c r="H1" s="114" t="s">
        <v>214</v>
      </c>
      <c r="I1" s="114" t="s">
        <v>1</v>
      </c>
    </row>
    <row r="2" spans="1:9">
      <c r="A2" s="115" t="s">
        <v>215</v>
      </c>
      <c r="B2" s="115" t="s">
        <v>127</v>
      </c>
      <c r="C2" s="115" t="s">
        <v>216</v>
      </c>
      <c r="D2" s="115">
        <v>2</v>
      </c>
      <c r="E2" s="115">
        <v>2</v>
      </c>
      <c r="F2" s="115" t="s">
        <v>110</v>
      </c>
      <c r="G2" s="115" t="s">
        <v>109</v>
      </c>
      <c r="H2" s="115"/>
      <c r="I2" s="115"/>
    </row>
    <row r="3" spans="1:9">
      <c r="A3" s="115" t="s">
        <v>215</v>
      </c>
      <c r="B3" s="115" t="s">
        <v>127</v>
      </c>
      <c r="C3" s="115" t="s">
        <v>216</v>
      </c>
      <c r="D3" s="115">
        <v>2</v>
      </c>
      <c r="E3" s="115">
        <v>3</v>
      </c>
      <c r="F3" s="115" t="s">
        <v>110</v>
      </c>
      <c r="G3" s="115" t="s">
        <v>112</v>
      </c>
      <c r="H3" s="115"/>
      <c r="I3" s="115"/>
    </row>
    <row r="4" spans="1:9">
      <c r="A4" s="115" t="s">
        <v>215</v>
      </c>
      <c r="B4" s="115" t="s">
        <v>127</v>
      </c>
      <c r="C4" s="115" t="s">
        <v>216</v>
      </c>
      <c r="D4" s="115">
        <v>2</v>
      </c>
      <c r="E4" s="115">
        <v>1</v>
      </c>
      <c r="F4" s="115" t="s">
        <v>109</v>
      </c>
      <c r="G4" s="115" t="s">
        <v>112</v>
      </c>
      <c r="H4" s="115"/>
      <c r="I4" s="115"/>
    </row>
    <row r="5" spans="1:9">
      <c r="A5" s="116" t="s">
        <v>134</v>
      </c>
      <c r="B5" s="116" t="s">
        <v>127</v>
      </c>
      <c r="C5" s="116" t="s">
        <v>217</v>
      </c>
      <c r="D5" s="116">
        <v>1</v>
      </c>
      <c r="E5" s="116">
        <v>1</v>
      </c>
      <c r="F5" s="116" t="s">
        <v>109</v>
      </c>
      <c r="G5" s="116"/>
      <c r="H5" s="116"/>
      <c r="I5" s="116"/>
    </row>
    <row r="6" spans="1:9">
      <c r="A6" s="116" t="s">
        <v>134</v>
      </c>
      <c r="B6" s="116" t="s">
        <v>127</v>
      </c>
      <c r="C6" s="116" t="s">
        <v>217</v>
      </c>
      <c r="D6" s="116">
        <v>1</v>
      </c>
      <c r="E6" s="116">
        <v>2</v>
      </c>
      <c r="F6" s="116" t="s">
        <v>112</v>
      </c>
      <c r="G6" s="116"/>
      <c r="H6" s="116"/>
      <c r="I6" s="116"/>
    </row>
    <row r="7" spans="1:9">
      <c r="A7" s="115" t="s">
        <v>7</v>
      </c>
      <c r="B7" s="115" t="s">
        <v>132</v>
      </c>
      <c r="C7" s="115" t="s">
        <v>218</v>
      </c>
      <c r="D7" s="115">
        <v>1</v>
      </c>
      <c r="E7" s="115">
        <v>2</v>
      </c>
      <c r="F7" s="115" t="s">
        <v>110</v>
      </c>
      <c r="G7" s="115"/>
      <c r="H7" s="115"/>
      <c r="I7" s="115"/>
    </row>
    <row r="8" spans="1:9">
      <c r="A8" s="115" t="s">
        <v>7</v>
      </c>
      <c r="B8" s="115" t="s">
        <v>132</v>
      </c>
      <c r="C8" s="115" t="s">
        <v>218</v>
      </c>
      <c r="D8" s="115">
        <v>1</v>
      </c>
      <c r="E8" s="115">
        <v>6</v>
      </c>
      <c r="F8" s="115" t="s">
        <v>108</v>
      </c>
      <c r="G8" s="115"/>
      <c r="H8" s="115"/>
      <c r="I8" s="115"/>
    </row>
    <row r="9" spans="1:9">
      <c r="A9" s="115" t="s">
        <v>7</v>
      </c>
      <c r="B9" s="115" t="s">
        <v>132</v>
      </c>
      <c r="C9" s="115" t="s">
        <v>218</v>
      </c>
      <c r="D9" s="115">
        <v>1</v>
      </c>
      <c r="E9" s="115">
        <v>3</v>
      </c>
      <c r="F9" s="115" t="s">
        <v>109</v>
      </c>
      <c r="G9" s="115"/>
      <c r="H9" s="115"/>
      <c r="I9" s="115"/>
    </row>
    <row r="10" spans="1:9">
      <c r="A10" s="115" t="s">
        <v>7</v>
      </c>
      <c r="B10" s="115" t="s">
        <v>132</v>
      </c>
      <c r="C10" s="115" t="s">
        <v>218</v>
      </c>
      <c r="D10" s="115">
        <v>1</v>
      </c>
      <c r="E10" s="115">
        <v>5</v>
      </c>
      <c r="F10" s="115" t="s">
        <v>111</v>
      </c>
      <c r="G10" s="115"/>
      <c r="H10" s="115"/>
      <c r="I10" s="115"/>
    </row>
    <row r="11" spans="1:9">
      <c r="A11" s="115" t="s">
        <v>7</v>
      </c>
      <c r="B11" s="115" t="s">
        <v>132</v>
      </c>
      <c r="C11" s="115" t="s">
        <v>218</v>
      </c>
      <c r="D11" s="115">
        <v>1</v>
      </c>
      <c r="E11" s="115">
        <v>1</v>
      </c>
      <c r="F11" s="115" t="s">
        <v>112</v>
      </c>
      <c r="G11" s="115"/>
      <c r="H11" s="115"/>
      <c r="I11" s="115"/>
    </row>
    <row r="12" spans="1:9">
      <c r="A12" s="115" t="s">
        <v>7</v>
      </c>
      <c r="B12" s="115" t="s">
        <v>132</v>
      </c>
      <c r="C12" s="115" t="s">
        <v>218</v>
      </c>
      <c r="D12" s="115">
        <v>1</v>
      </c>
      <c r="E12" s="115">
        <v>4</v>
      </c>
      <c r="F12" s="115" t="s">
        <v>113</v>
      </c>
      <c r="G12" s="115"/>
      <c r="H12" s="115"/>
      <c r="I12" s="115"/>
    </row>
    <row r="13" spans="1:9">
      <c r="A13" s="116" t="s">
        <v>133</v>
      </c>
      <c r="B13" s="116" t="s">
        <v>132</v>
      </c>
      <c r="C13" s="116" t="s">
        <v>219</v>
      </c>
      <c r="D13" s="116">
        <v>1</v>
      </c>
      <c r="E13" s="116">
        <v>3</v>
      </c>
      <c r="F13" s="116" t="s">
        <v>110</v>
      </c>
      <c r="G13" s="116"/>
      <c r="H13" s="116"/>
      <c r="I13" s="116"/>
    </row>
    <row r="14" spans="1:9">
      <c r="A14" s="116" t="s">
        <v>133</v>
      </c>
      <c r="B14" s="116" t="s">
        <v>132</v>
      </c>
      <c r="C14" s="116" t="s">
        <v>219</v>
      </c>
      <c r="D14" s="116">
        <v>1</v>
      </c>
      <c r="E14" s="116">
        <v>5</v>
      </c>
      <c r="F14" s="116" t="s">
        <v>108</v>
      </c>
      <c r="G14" s="116"/>
      <c r="H14" s="116"/>
      <c r="I14" s="116"/>
    </row>
    <row r="15" spans="1:9">
      <c r="A15" s="116" t="s">
        <v>133</v>
      </c>
      <c r="B15" s="116" t="s">
        <v>132</v>
      </c>
      <c r="C15" s="116" t="s">
        <v>219</v>
      </c>
      <c r="D15" s="116">
        <v>1</v>
      </c>
      <c r="E15" s="116">
        <v>2</v>
      </c>
      <c r="F15" s="116" t="s">
        <v>109</v>
      </c>
      <c r="G15" s="116"/>
      <c r="H15" s="116"/>
      <c r="I15" s="116"/>
    </row>
    <row r="16" spans="1:9">
      <c r="A16" s="116" t="s">
        <v>133</v>
      </c>
      <c r="B16" s="116" t="s">
        <v>132</v>
      </c>
      <c r="C16" s="116" t="s">
        <v>219</v>
      </c>
      <c r="D16" s="116">
        <v>1</v>
      </c>
      <c r="E16" s="116">
        <v>4</v>
      </c>
      <c r="F16" s="116" t="s">
        <v>111</v>
      </c>
      <c r="G16" s="116"/>
      <c r="H16" s="116"/>
      <c r="I16" s="116"/>
    </row>
    <row r="17" spans="1:9">
      <c r="A17" s="116" t="s">
        <v>133</v>
      </c>
      <c r="B17" s="116" t="s">
        <v>132</v>
      </c>
      <c r="C17" s="116" t="s">
        <v>219</v>
      </c>
      <c r="D17" s="116">
        <v>1</v>
      </c>
      <c r="E17" s="116">
        <v>1</v>
      </c>
      <c r="F17" s="116" t="s">
        <v>112</v>
      </c>
      <c r="G17" s="116"/>
      <c r="H17" s="116"/>
      <c r="I17" s="116"/>
    </row>
    <row r="18" spans="1:9">
      <c r="A18" s="115" t="s">
        <v>215</v>
      </c>
      <c r="B18" s="115" t="s">
        <v>128</v>
      </c>
      <c r="C18" s="115" t="s">
        <v>220</v>
      </c>
      <c r="D18" s="115">
        <v>3</v>
      </c>
      <c r="E18" s="115">
        <v>12</v>
      </c>
      <c r="F18" s="115" t="s">
        <v>110</v>
      </c>
      <c r="G18" s="115" t="s">
        <v>108</v>
      </c>
      <c r="H18" s="115" t="s">
        <v>109</v>
      </c>
      <c r="I18" s="115"/>
    </row>
    <row r="19" spans="1:9">
      <c r="A19" s="115" t="s">
        <v>215</v>
      </c>
      <c r="B19" s="115" t="s">
        <v>128</v>
      </c>
      <c r="C19" s="115" t="s">
        <v>220</v>
      </c>
      <c r="D19" s="115">
        <v>3</v>
      </c>
      <c r="E19" s="115">
        <v>6</v>
      </c>
      <c r="F19" s="115" t="s">
        <v>110</v>
      </c>
      <c r="G19" s="115" t="s">
        <v>108</v>
      </c>
      <c r="H19" s="115" t="s">
        <v>111</v>
      </c>
      <c r="I19" s="115"/>
    </row>
    <row r="20" spans="1:9">
      <c r="A20" s="115" t="s">
        <v>215</v>
      </c>
      <c r="B20" s="115" t="s">
        <v>128</v>
      </c>
      <c r="C20" s="115" t="s">
        <v>220</v>
      </c>
      <c r="D20" s="115">
        <v>3</v>
      </c>
      <c r="E20" s="115">
        <v>2</v>
      </c>
      <c r="F20" s="115" t="s">
        <v>110</v>
      </c>
      <c r="G20" s="115" t="s">
        <v>108</v>
      </c>
      <c r="H20" s="115" t="s">
        <v>112</v>
      </c>
      <c r="I20" s="115"/>
    </row>
    <row r="21" spans="1:9">
      <c r="A21" s="115" t="s">
        <v>215</v>
      </c>
      <c r="B21" s="115" t="s">
        <v>128</v>
      </c>
      <c r="C21" s="115" t="s">
        <v>220</v>
      </c>
      <c r="D21" s="115">
        <v>3</v>
      </c>
      <c r="E21" s="115">
        <v>9</v>
      </c>
      <c r="F21" s="115" t="s">
        <v>110</v>
      </c>
      <c r="G21" s="115" t="s">
        <v>108</v>
      </c>
      <c r="H21" s="115" t="s">
        <v>113</v>
      </c>
      <c r="I21" s="115"/>
    </row>
    <row r="22" spans="1:9">
      <c r="A22" s="115" t="s">
        <v>215</v>
      </c>
      <c r="B22" s="115" t="s">
        <v>128</v>
      </c>
      <c r="C22" s="115" t="s">
        <v>220</v>
      </c>
      <c r="D22" s="115">
        <v>3</v>
      </c>
      <c r="E22" s="115">
        <v>13</v>
      </c>
      <c r="F22" s="115" t="s">
        <v>110</v>
      </c>
      <c r="G22" s="115" t="s">
        <v>109</v>
      </c>
      <c r="H22" s="115" t="s">
        <v>111</v>
      </c>
      <c r="I22" s="115"/>
    </row>
    <row r="23" spans="1:9">
      <c r="A23" s="115" t="s">
        <v>215</v>
      </c>
      <c r="B23" s="115" t="s">
        <v>128</v>
      </c>
      <c r="C23" s="115" t="s">
        <v>220</v>
      </c>
      <c r="D23" s="115">
        <v>3</v>
      </c>
      <c r="E23" s="115">
        <v>4</v>
      </c>
      <c r="F23" s="115" t="s">
        <v>110</v>
      </c>
      <c r="G23" s="115" t="s">
        <v>109</v>
      </c>
      <c r="H23" s="115" t="s">
        <v>112</v>
      </c>
      <c r="I23" s="115"/>
    </row>
    <row r="24" spans="1:9">
      <c r="A24" s="115" t="s">
        <v>215</v>
      </c>
      <c r="B24" s="115" t="s">
        <v>128</v>
      </c>
      <c r="C24" s="115" t="s">
        <v>220</v>
      </c>
      <c r="D24" s="115">
        <v>3</v>
      </c>
      <c r="E24" s="115">
        <v>14</v>
      </c>
      <c r="F24" s="115" t="s">
        <v>110</v>
      </c>
      <c r="G24" s="115" t="s">
        <v>109</v>
      </c>
      <c r="H24" s="115" t="s">
        <v>113</v>
      </c>
      <c r="I24" s="115"/>
    </row>
    <row r="25" spans="1:9">
      <c r="A25" s="115" t="s">
        <v>215</v>
      </c>
      <c r="B25" s="115" t="s">
        <v>128</v>
      </c>
      <c r="C25" s="115" t="s">
        <v>220</v>
      </c>
      <c r="D25" s="115">
        <v>3</v>
      </c>
      <c r="E25" s="115">
        <v>1</v>
      </c>
      <c r="F25" s="115" t="s">
        <v>110</v>
      </c>
      <c r="G25" s="115" t="s">
        <v>111</v>
      </c>
      <c r="H25" s="115" t="s">
        <v>112</v>
      </c>
      <c r="I25" s="115"/>
    </row>
    <row r="26" spans="1:9">
      <c r="A26" s="115" t="s">
        <v>215</v>
      </c>
      <c r="B26" s="115" t="s">
        <v>128</v>
      </c>
      <c r="C26" s="115" t="s">
        <v>220</v>
      </c>
      <c r="D26" s="115">
        <v>3</v>
      </c>
      <c r="E26" s="115">
        <v>5</v>
      </c>
      <c r="F26" s="115" t="s">
        <v>110</v>
      </c>
      <c r="G26" s="115" t="s">
        <v>111</v>
      </c>
      <c r="H26" s="115" t="s">
        <v>113</v>
      </c>
      <c r="I26" s="115"/>
    </row>
    <row r="27" spans="1:9">
      <c r="A27" s="115" t="s">
        <v>215</v>
      </c>
      <c r="B27" s="115" t="s">
        <v>128</v>
      </c>
      <c r="C27" s="115" t="s">
        <v>220</v>
      </c>
      <c r="D27" s="115">
        <v>3</v>
      </c>
      <c r="E27" s="115">
        <v>10</v>
      </c>
      <c r="F27" s="115" t="s">
        <v>110</v>
      </c>
      <c r="G27" s="115" t="s">
        <v>112</v>
      </c>
      <c r="H27" s="115" t="s">
        <v>113</v>
      </c>
      <c r="I27" s="115"/>
    </row>
    <row r="28" spans="1:9">
      <c r="A28" s="115" t="s">
        <v>215</v>
      </c>
      <c r="B28" s="115" t="s">
        <v>128</v>
      </c>
      <c r="C28" s="115" t="s">
        <v>220</v>
      </c>
      <c r="D28" s="115">
        <v>3</v>
      </c>
      <c r="E28" s="115">
        <v>8</v>
      </c>
      <c r="F28" s="115" t="s">
        <v>108</v>
      </c>
      <c r="G28" s="115" t="s">
        <v>109</v>
      </c>
      <c r="H28" s="115" t="s">
        <v>111</v>
      </c>
      <c r="I28" s="115"/>
    </row>
    <row r="29" spans="1:9">
      <c r="A29" s="115" t="s">
        <v>215</v>
      </c>
      <c r="B29" s="115" t="s">
        <v>128</v>
      </c>
      <c r="C29" s="115" t="s">
        <v>220</v>
      </c>
      <c r="D29" s="115">
        <v>3</v>
      </c>
      <c r="E29" s="115">
        <v>15</v>
      </c>
      <c r="F29" s="115" t="s">
        <v>108</v>
      </c>
      <c r="G29" s="115" t="s">
        <v>109</v>
      </c>
      <c r="H29" s="115" t="s">
        <v>112</v>
      </c>
      <c r="I29" s="115"/>
    </row>
    <row r="30" spans="1:9">
      <c r="A30" s="115" t="s">
        <v>215</v>
      </c>
      <c r="B30" s="115" t="s">
        <v>128</v>
      </c>
      <c r="C30" s="115" t="s">
        <v>220</v>
      </c>
      <c r="D30" s="115">
        <v>3</v>
      </c>
      <c r="E30" s="115">
        <v>17</v>
      </c>
      <c r="F30" s="115" t="s">
        <v>108</v>
      </c>
      <c r="G30" s="115" t="s">
        <v>109</v>
      </c>
      <c r="H30" s="115" t="s">
        <v>113</v>
      </c>
      <c r="I30" s="115"/>
    </row>
    <row r="31" spans="1:9">
      <c r="A31" s="115" t="s">
        <v>215</v>
      </c>
      <c r="B31" s="115" t="s">
        <v>128</v>
      </c>
      <c r="C31" s="115" t="s">
        <v>220</v>
      </c>
      <c r="D31" s="115">
        <v>3</v>
      </c>
      <c r="E31" s="115">
        <v>3</v>
      </c>
      <c r="F31" s="115" t="s">
        <v>108</v>
      </c>
      <c r="G31" s="115" t="s">
        <v>111</v>
      </c>
      <c r="H31" s="115" t="s">
        <v>112</v>
      </c>
      <c r="I31" s="115"/>
    </row>
    <row r="32" spans="1:9">
      <c r="A32" s="115" t="s">
        <v>215</v>
      </c>
      <c r="B32" s="115" t="s">
        <v>128</v>
      </c>
      <c r="C32" s="115" t="s">
        <v>220</v>
      </c>
      <c r="D32" s="115">
        <v>3</v>
      </c>
      <c r="E32" s="115">
        <v>7</v>
      </c>
      <c r="F32" s="115" t="s">
        <v>108</v>
      </c>
      <c r="G32" s="115" t="s">
        <v>111</v>
      </c>
      <c r="H32" s="115" t="s">
        <v>113</v>
      </c>
      <c r="I32" s="115"/>
    </row>
    <row r="33" spans="1:9">
      <c r="A33" s="115" t="s">
        <v>215</v>
      </c>
      <c r="B33" s="115" t="s">
        <v>128</v>
      </c>
      <c r="C33" s="115" t="s">
        <v>220</v>
      </c>
      <c r="D33" s="115">
        <v>3</v>
      </c>
      <c r="E33" s="115">
        <v>11</v>
      </c>
      <c r="F33" s="115" t="s">
        <v>108</v>
      </c>
      <c r="G33" s="115" t="s">
        <v>112</v>
      </c>
      <c r="H33" s="115" t="s">
        <v>113</v>
      </c>
      <c r="I33" s="115"/>
    </row>
    <row r="34" spans="1:9">
      <c r="A34" s="115" t="s">
        <v>215</v>
      </c>
      <c r="B34" s="115" t="s">
        <v>128</v>
      </c>
      <c r="C34" s="115" t="s">
        <v>220</v>
      </c>
      <c r="D34" s="115">
        <v>3</v>
      </c>
      <c r="E34" s="115">
        <v>18</v>
      </c>
      <c r="F34" s="115" t="s">
        <v>109</v>
      </c>
      <c r="G34" s="115" t="s">
        <v>111</v>
      </c>
      <c r="H34" s="115" t="s">
        <v>112</v>
      </c>
      <c r="I34" s="115"/>
    </row>
    <row r="35" spans="1:9">
      <c r="A35" s="115" t="s">
        <v>215</v>
      </c>
      <c r="B35" s="115" t="s">
        <v>128</v>
      </c>
      <c r="C35" s="115" t="s">
        <v>220</v>
      </c>
      <c r="D35" s="115">
        <v>3</v>
      </c>
      <c r="E35" s="115">
        <v>19</v>
      </c>
      <c r="F35" s="115" t="s">
        <v>109</v>
      </c>
      <c r="G35" s="115" t="s">
        <v>111</v>
      </c>
      <c r="H35" s="115" t="s">
        <v>113</v>
      </c>
      <c r="I35" s="115"/>
    </row>
    <row r="36" spans="1:9">
      <c r="A36" s="115" t="s">
        <v>215</v>
      </c>
      <c r="B36" s="115" t="s">
        <v>128</v>
      </c>
      <c r="C36" s="115" t="s">
        <v>220</v>
      </c>
      <c r="D36" s="115">
        <v>3</v>
      </c>
      <c r="E36" s="115">
        <v>20</v>
      </c>
      <c r="F36" s="115" t="s">
        <v>109</v>
      </c>
      <c r="G36" s="115" t="s">
        <v>112</v>
      </c>
      <c r="H36" s="115" t="s">
        <v>113</v>
      </c>
      <c r="I36" s="115"/>
    </row>
    <row r="37" spans="1:9">
      <c r="A37" s="115" t="s">
        <v>215</v>
      </c>
      <c r="B37" s="115" t="s">
        <v>128</v>
      </c>
      <c r="C37" s="115" t="s">
        <v>220</v>
      </c>
      <c r="D37" s="115">
        <v>3</v>
      </c>
      <c r="E37" s="115">
        <v>16</v>
      </c>
      <c r="F37" s="115" t="s">
        <v>111</v>
      </c>
      <c r="G37" s="115" t="s">
        <v>112</v>
      </c>
      <c r="H37" s="115" t="s">
        <v>113</v>
      </c>
      <c r="I37" s="115"/>
    </row>
    <row r="38" spans="1:9">
      <c r="A38" s="116" t="s">
        <v>221</v>
      </c>
      <c r="B38" s="116" t="s">
        <v>128</v>
      </c>
      <c r="C38" s="116" t="s">
        <v>222</v>
      </c>
      <c r="D38" s="116">
        <v>3</v>
      </c>
      <c r="E38" s="116">
        <v>14</v>
      </c>
      <c r="F38" s="116" t="s">
        <v>110</v>
      </c>
      <c r="G38" s="116" t="s">
        <v>108</v>
      </c>
      <c r="H38" s="116" t="s">
        <v>109</v>
      </c>
      <c r="I38" s="116"/>
    </row>
    <row r="39" spans="1:9">
      <c r="A39" s="116" t="s">
        <v>221</v>
      </c>
      <c r="B39" s="116" t="s">
        <v>128</v>
      </c>
      <c r="C39" s="116" t="s">
        <v>222</v>
      </c>
      <c r="D39" s="116">
        <v>3</v>
      </c>
      <c r="E39" s="116">
        <v>15</v>
      </c>
      <c r="F39" s="116" t="s">
        <v>110</v>
      </c>
      <c r="G39" s="116" t="s">
        <v>108</v>
      </c>
      <c r="H39" s="116" t="s">
        <v>111</v>
      </c>
      <c r="I39" s="116"/>
    </row>
    <row r="40" spans="1:9">
      <c r="A40" s="116" t="s">
        <v>221</v>
      </c>
      <c r="B40" s="116" t="s">
        <v>128</v>
      </c>
      <c r="C40" s="116" t="s">
        <v>222</v>
      </c>
      <c r="D40" s="116">
        <v>3</v>
      </c>
      <c r="E40" s="116">
        <v>13</v>
      </c>
      <c r="F40" s="116" t="s">
        <v>110</v>
      </c>
      <c r="G40" s="116" t="s">
        <v>108</v>
      </c>
      <c r="H40" s="116" t="s">
        <v>112</v>
      </c>
      <c r="I40" s="116"/>
    </row>
    <row r="41" spans="1:9">
      <c r="A41" s="116" t="s">
        <v>221</v>
      </c>
      <c r="B41" s="116" t="s">
        <v>128</v>
      </c>
      <c r="C41" s="116" t="s">
        <v>222</v>
      </c>
      <c r="D41" s="116">
        <v>3</v>
      </c>
      <c r="E41" s="116">
        <v>12</v>
      </c>
      <c r="F41" s="116" t="s">
        <v>110</v>
      </c>
      <c r="G41" s="116" t="s">
        <v>108</v>
      </c>
      <c r="H41" s="116" t="s">
        <v>113</v>
      </c>
      <c r="I41" s="116"/>
    </row>
    <row r="42" spans="1:9">
      <c r="A42" s="116" t="s">
        <v>221</v>
      </c>
      <c r="B42" s="116" t="s">
        <v>128</v>
      </c>
      <c r="C42" s="116" t="s">
        <v>222</v>
      </c>
      <c r="D42" s="116">
        <v>3</v>
      </c>
      <c r="E42" s="116">
        <v>7</v>
      </c>
      <c r="F42" s="116" t="s">
        <v>110</v>
      </c>
      <c r="G42" s="116" t="s">
        <v>109</v>
      </c>
      <c r="H42" s="116" t="s">
        <v>111</v>
      </c>
      <c r="I42" s="116"/>
    </row>
    <row r="43" spans="1:9">
      <c r="A43" s="116" t="s">
        <v>221</v>
      </c>
      <c r="B43" s="116" t="s">
        <v>128</v>
      </c>
      <c r="C43" s="116" t="s">
        <v>222</v>
      </c>
      <c r="D43" s="116">
        <v>3</v>
      </c>
      <c r="E43" s="116">
        <v>3</v>
      </c>
      <c r="F43" s="116" t="s">
        <v>110</v>
      </c>
      <c r="G43" s="116" t="s">
        <v>109</v>
      </c>
      <c r="H43" s="116" t="s">
        <v>112</v>
      </c>
      <c r="I43" s="116"/>
    </row>
    <row r="44" spans="1:9">
      <c r="A44" s="116" t="s">
        <v>221</v>
      </c>
      <c r="B44" s="116" t="s">
        <v>128</v>
      </c>
      <c r="C44" s="116" t="s">
        <v>222</v>
      </c>
      <c r="D44" s="116">
        <v>3</v>
      </c>
      <c r="E44" s="116">
        <v>2</v>
      </c>
      <c r="F44" s="116" t="s">
        <v>110</v>
      </c>
      <c r="G44" s="116" t="s">
        <v>109</v>
      </c>
      <c r="H44" s="116" t="s">
        <v>113</v>
      </c>
      <c r="I44" s="116"/>
    </row>
    <row r="45" spans="1:9">
      <c r="A45" s="116" t="s">
        <v>221</v>
      </c>
      <c r="B45" s="116" t="s">
        <v>128</v>
      </c>
      <c r="C45" s="116" t="s">
        <v>222</v>
      </c>
      <c r="D45" s="116">
        <v>3</v>
      </c>
      <c r="E45" s="116">
        <v>5</v>
      </c>
      <c r="F45" s="116" t="s">
        <v>110</v>
      </c>
      <c r="G45" s="116" t="s">
        <v>111</v>
      </c>
      <c r="H45" s="116" t="s">
        <v>112</v>
      </c>
      <c r="I45" s="116"/>
    </row>
    <row r="46" spans="1:9">
      <c r="A46" s="116" t="s">
        <v>221</v>
      </c>
      <c r="B46" s="116" t="s">
        <v>128</v>
      </c>
      <c r="C46" s="116" t="s">
        <v>222</v>
      </c>
      <c r="D46" s="116">
        <v>3</v>
      </c>
      <c r="E46" s="116">
        <v>4</v>
      </c>
      <c r="F46" s="116" t="s">
        <v>110</v>
      </c>
      <c r="G46" s="116" t="s">
        <v>111</v>
      </c>
      <c r="H46" s="116" t="s">
        <v>113</v>
      </c>
      <c r="I46" s="116"/>
    </row>
    <row r="47" spans="1:9">
      <c r="A47" s="116" t="s">
        <v>221</v>
      </c>
      <c r="B47" s="116" t="s">
        <v>128</v>
      </c>
      <c r="C47" s="116" t="s">
        <v>222</v>
      </c>
      <c r="D47" s="116">
        <v>3</v>
      </c>
      <c r="E47" s="116">
        <v>1</v>
      </c>
      <c r="F47" s="116" t="s">
        <v>110</v>
      </c>
      <c r="G47" s="116" t="s">
        <v>112</v>
      </c>
      <c r="H47" s="116" t="s">
        <v>113</v>
      </c>
      <c r="I47" s="116"/>
    </row>
    <row r="48" spans="1:9">
      <c r="A48" s="116" t="s">
        <v>221</v>
      </c>
      <c r="B48" s="116" t="s">
        <v>128</v>
      </c>
      <c r="C48" s="116" t="s">
        <v>222</v>
      </c>
      <c r="D48" s="116">
        <v>3</v>
      </c>
      <c r="E48" s="116">
        <v>20</v>
      </c>
      <c r="F48" s="116" t="s">
        <v>108</v>
      </c>
      <c r="G48" s="116" t="s">
        <v>109</v>
      </c>
      <c r="H48" s="116" t="s">
        <v>111</v>
      </c>
      <c r="I48" s="116"/>
    </row>
    <row r="49" spans="1:9">
      <c r="A49" s="116" t="s">
        <v>221</v>
      </c>
      <c r="B49" s="116" t="s">
        <v>128</v>
      </c>
      <c r="C49" s="116" t="s">
        <v>222</v>
      </c>
      <c r="D49" s="116">
        <v>3</v>
      </c>
      <c r="E49" s="116">
        <v>18</v>
      </c>
      <c r="F49" s="116" t="s">
        <v>108</v>
      </c>
      <c r="G49" s="116" t="s">
        <v>109</v>
      </c>
      <c r="H49" s="116" t="s">
        <v>112</v>
      </c>
      <c r="I49" s="116"/>
    </row>
    <row r="50" spans="1:9">
      <c r="A50" s="116" t="s">
        <v>221</v>
      </c>
      <c r="B50" s="116" t="s">
        <v>128</v>
      </c>
      <c r="C50" s="116" t="s">
        <v>222</v>
      </c>
      <c r="D50" s="116">
        <v>3</v>
      </c>
      <c r="E50" s="116">
        <v>16</v>
      </c>
      <c r="F50" s="116" t="s">
        <v>108</v>
      </c>
      <c r="G50" s="116" t="s">
        <v>109</v>
      </c>
      <c r="H50" s="116" t="s">
        <v>113</v>
      </c>
      <c r="I50" s="116"/>
    </row>
    <row r="51" spans="1:9">
      <c r="A51" s="116" t="s">
        <v>221</v>
      </c>
      <c r="B51" s="116" t="s">
        <v>128</v>
      </c>
      <c r="C51" s="116" t="s">
        <v>222</v>
      </c>
      <c r="D51" s="116">
        <v>3</v>
      </c>
      <c r="E51" s="116">
        <v>19</v>
      </c>
      <c r="F51" s="116" t="s">
        <v>108</v>
      </c>
      <c r="G51" s="116" t="s">
        <v>111</v>
      </c>
      <c r="H51" s="116" t="s">
        <v>112</v>
      </c>
      <c r="I51" s="116"/>
    </row>
    <row r="52" spans="1:9">
      <c r="A52" s="116" t="s">
        <v>221</v>
      </c>
      <c r="B52" s="116" t="s">
        <v>128</v>
      </c>
      <c r="C52" s="116" t="s">
        <v>222</v>
      </c>
      <c r="D52" s="116">
        <v>3</v>
      </c>
      <c r="E52" s="116">
        <v>17</v>
      </c>
      <c r="F52" s="116" t="s">
        <v>108</v>
      </c>
      <c r="G52" s="116" t="s">
        <v>111</v>
      </c>
      <c r="H52" s="116" t="s">
        <v>113</v>
      </c>
      <c r="I52" s="116"/>
    </row>
    <row r="53" spans="1:9">
      <c r="A53" s="116" t="s">
        <v>221</v>
      </c>
      <c r="B53" s="116" t="s">
        <v>128</v>
      </c>
      <c r="C53" s="116" t="s">
        <v>222</v>
      </c>
      <c r="D53" s="116">
        <v>3</v>
      </c>
      <c r="E53" s="116">
        <v>6</v>
      </c>
      <c r="F53" s="116" t="s">
        <v>108</v>
      </c>
      <c r="G53" s="116" t="s">
        <v>112</v>
      </c>
      <c r="H53" s="116" t="s">
        <v>113</v>
      </c>
      <c r="I53" s="116"/>
    </row>
    <row r="54" spans="1:9">
      <c r="A54" s="116" t="s">
        <v>221</v>
      </c>
      <c r="B54" s="116" t="s">
        <v>128</v>
      </c>
      <c r="C54" s="116" t="s">
        <v>222</v>
      </c>
      <c r="D54" s="116">
        <v>3</v>
      </c>
      <c r="E54" s="116">
        <v>9</v>
      </c>
      <c r="F54" s="116" t="s">
        <v>109</v>
      </c>
      <c r="G54" s="116" t="s">
        <v>111</v>
      </c>
      <c r="H54" s="116" t="s">
        <v>112</v>
      </c>
      <c r="I54" s="116"/>
    </row>
    <row r="55" spans="1:9">
      <c r="A55" s="116" t="s">
        <v>221</v>
      </c>
      <c r="B55" s="116" t="s">
        <v>128</v>
      </c>
      <c r="C55" s="116" t="s">
        <v>222</v>
      </c>
      <c r="D55" s="116">
        <v>3</v>
      </c>
      <c r="E55" s="116">
        <v>8</v>
      </c>
      <c r="F55" s="116" t="s">
        <v>109</v>
      </c>
      <c r="G55" s="116" t="s">
        <v>111</v>
      </c>
      <c r="H55" s="116" t="s">
        <v>113</v>
      </c>
      <c r="I55" s="116"/>
    </row>
    <row r="56" spans="1:9">
      <c r="A56" s="116" t="s">
        <v>221</v>
      </c>
      <c r="B56" s="116" t="s">
        <v>128</v>
      </c>
      <c r="C56" s="116" t="s">
        <v>222</v>
      </c>
      <c r="D56" s="116">
        <v>3</v>
      </c>
      <c r="E56" s="116">
        <v>10</v>
      </c>
      <c r="F56" s="116" t="s">
        <v>109</v>
      </c>
      <c r="G56" s="116" t="s">
        <v>112</v>
      </c>
      <c r="H56" s="116" t="s">
        <v>113</v>
      </c>
      <c r="I56" s="116"/>
    </row>
    <row r="57" spans="1:9">
      <c r="A57" s="116" t="s">
        <v>221</v>
      </c>
      <c r="B57" s="116" t="s">
        <v>128</v>
      </c>
      <c r="C57" s="116" t="s">
        <v>222</v>
      </c>
      <c r="D57" s="116">
        <v>3</v>
      </c>
      <c r="E57" s="116">
        <v>11</v>
      </c>
      <c r="F57" s="116" t="s">
        <v>111</v>
      </c>
      <c r="G57" s="116" t="s">
        <v>112</v>
      </c>
      <c r="H57" s="116" t="s">
        <v>113</v>
      </c>
      <c r="I57" s="116"/>
    </row>
    <row r="58" spans="1:9">
      <c r="A58" s="115" t="s">
        <v>4</v>
      </c>
      <c r="B58" s="115" t="s">
        <v>129</v>
      </c>
      <c r="C58" s="115" t="s">
        <v>223</v>
      </c>
      <c r="D58" s="115">
        <v>2</v>
      </c>
      <c r="E58" s="115">
        <v>11</v>
      </c>
      <c r="F58" s="115" t="s">
        <v>110</v>
      </c>
      <c r="G58" s="115" t="s">
        <v>108</v>
      </c>
      <c r="H58" s="115"/>
      <c r="I58" s="115"/>
    </row>
    <row r="59" spans="1:9">
      <c r="A59" s="115" t="s">
        <v>4</v>
      </c>
      <c r="B59" s="115" t="s">
        <v>129</v>
      </c>
      <c r="C59" s="115" t="s">
        <v>223</v>
      </c>
      <c r="D59" s="115">
        <v>2</v>
      </c>
      <c r="E59" s="115">
        <v>10</v>
      </c>
      <c r="F59" s="115" t="s">
        <v>110</v>
      </c>
      <c r="G59" s="115" t="s">
        <v>109</v>
      </c>
      <c r="H59" s="115"/>
      <c r="I59" s="115"/>
    </row>
    <row r="60" spans="1:9">
      <c r="A60" s="115" t="s">
        <v>4</v>
      </c>
      <c r="B60" s="115" t="s">
        <v>129</v>
      </c>
      <c r="C60" s="115" t="s">
        <v>223</v>
      </c>
      <c r="D60" s="115">
        <v>2</v>
      </c>
      <c r="E60" s="115">
        <v>4</v>
      </c>
      <c r="F60" s="115" t="s">
        <v>110</v>
      </c>
      <c r="G60" s="115" t="s">
        <v>111</v>
      </c>
      <c r="H60" s="115"/>
      <c r="I60" s="115"/>
    </row>
    <row r="61" spans="1:9">
      <c r="A61" s="115" t="s">
        <v>4</v>
      </c>
      <c r="B61" s="115" t="s">
        <v>129</v>
      </c>
      <c r="C61" s="115" t="s">
        <v>223</v>
      </c>
      <c r="D61" s="115">
        <v>2</v>
      </c>
      <c r="E61" s="115">
        <v>5</v>
      </c>
      <c r="F61" s="115" t="s">
        <v>110</v>
      </c>
      <c r="G61" s="115" t="s">
        <v>112</v>
      </c>
      <c r="H61" s="115"/>
      <c r="I61" s="115"/>
    </row>
    <row r="62" spans="1:9">
      <c r="A62" s="115" t="s">
        <v>4</v>
      </c>
      <c r="B62" s="115" t="s">
        <v>129</v>
      </c>
      <c r="C62" s="115" t="s">
        <v>223</v>
      </c>
      <c r="D62" s="115">
        <v>2</v>
      </c>
      <c r="E62" s="115">
        <v>6</v>
      </c>
      <c r="F62" s="115" t="s">
        <v>110</v>
      </c>
      <c r="G62" s="115" t="s">
        <v>113</v>
      </c>
      <c r="H62" s="115"/>
      <c r="I62" s="115"/>
    </row>
    <row r="63" spans="1:9">
      <c r="A63" s="115" t="s">
        <v>4</v>
      </c>
      <c r="B63" s="115" t="s">
        <v>129</v>
      </c>
      <c r="C63" s="115" t="s">
        <v>223</v>
      </c>
      <c r="D63" s="115">
        <v>2</v>
      </c>
      <c r="E63" s="115">
        <v>12</v>
      </c>
      <c r="F63" s="115" t="s">
        <v>108</v>
      </c>
      <c r="G63" s="115" t="s">
        <v>109</v>
      </c>
      <c r="H63" s="115"/>
      <c r="I63" s="115"/>
    </row>
    <row r="64" spans="1:9">
      <c r="A64" s="115" t="s">
        <v>4</v>
      </c>
      <c r="B64" s="115" t="s">
        <v>129</v>
      </c>
      <c r="C64" s="115" t="s">
        <v>223</v>
      </c>
      <c r="D64" s="115">
        <v>2</v>
      </c>
      <c r="E64" s="115">
        <v>7</v>
      </c>
      <c r="F64" s="115" t="s">
        <v>108</v>
      </c>
      <c r="G64" s="115" t="s">
        <v>111</v>
      </c>
      <c r="H64" s="115"/>
      <c r="I64" s="115"/>
    </row>
    <row r="65" spans="1:9">
      <c r="A65" s="115" t="s">
        <v>4</v>
      </c>
      <c r="B65" s="115" t="s">
        <v>129</v>
      </c>
      <c r="C65" s="115" t="s">
        <v>223</v>
      </c>
      <c r="D65" s="115">
        <v>2</v>
      </c>
      <c r="E65" s="115">
        <v>8</v>
      </c>
      <c r="F65" s="115" t="s">
        <v>108</v>
      </c>
      <c r="G65" s="115" t="s">
        <v>112</v>
      </c>
      <c r="H65" s="115"/>
      <c r="I65" s="115"/>
    </row>
    <row r="66" spans="1:9">
      <c r="A66" s="115" t="s">
        <v>4</v>
      </c>
      <c r="B66" s="115" t="s">
        <v>129</v>
      </c>
      <c r="C66" s="115" t="s">
        <v>223</v>
      </c>
      <c r="D66" s="115">
        <v>2</v>
      </c>
      <c r="E66" s="115">
        <v>9</v>
      </c>
      <c r="F66" s="115" t="s">
        <v>108</v>
      </c>
      <c r="G66" s="115" t="s">
        <v>113</v>
      </c>
      <c r="H66" s="115"/>
      <c r="I66" s="115"/>
    </row>
    <row r="67" spans="1:9">
      <c r="A67" s="115" t="s">
        <v>4</v>
      </c>
      <c r="B67" s="115" t="s">
        <v>129</v>
      </c>
      <c r="C67" s="115" t="s">
        <v>223</v>
      </c>
      <c r="D67" s="115">
        <v>2</v>
      </c>
      <c r="E67" s="115">
        <v>1</v>
      </c>
      <c r="F67" s="115" t="s">
        <v>109</v>
      </c>
      <c r="G67" s="115" t="s">
        <v>111</v>
      </c>
      <c r="H67" s="115"/>
      <c r="I67" s="115"/>
    </row>
    <row r="68" spans="1:9">
      <c r="A68" s="115" t="s">
        <v>4</v>
      </c>
      <c r="B68" s="115" t="s">
        <v>129</v>
      </c>
      <c r="C68" s="115" t="s">
        <v>223</v>
      </c>
      <c r="D68" s="115">
        <v>2</v>
      </c>
      <c r="E68" s="115">
        <v>2</v>
      </c>
      <c r="F68" s="115" t="s">
        <v>109</v>
      </c>
      <c r="G68" s="115" t="s">
        <v>112</v>
      </c>
      <c r="H68" s="115"/>
      <c r="I68" s="115"/>
    </row>
    <row r="69" spans="1:9">
      <c r="A69" s="115" t="s">
        <v>4</v>
      </c>
      <c r="B69" s="115" t="s">
        <v>129</v>
      </c>
      <c r="C69" s="115" t="s">
        <v>223</v>
      </c>
      <c r="D69" s="115">
        <v>2</v>
      </c>
      <c r="E69" s="115">
        <v>3</v>
      </c>
      <c r="F69" s="115" t="s">
        <v>109</v>
      </c>
      <c r="G69" s="115" t="s">
        <v>113</v>
      </c>
      <c r="H69" s="115"/>
      <c r="I69" s="115"/>
    </row>
    <row r="70" spans="1:9">
      <c r="A70" s="116" t="s">
        <v>133</v>
      </c>
      <c r="B70" s="116" t="s">
        <v>129</v>
      </c>
      <c r="C70" s="116" t="s">
        <v>224</v>
      </c>
      <c r="D70" s="116">
        <v>1</v>
      </c>
      <c r="E70" s="116">
        <v>1</v>
      </c>
      <c r="F70" s="116" t="s">
        <v>110</v>
      </c>
      <c r="G70" s="116"/>
      <c r="H70" s="116"/>
      <c r="I70" s="116"/>
    </row>
    <row r="71" spans="1:9">
      <c r="A71" s="116" t="s">
        <v>133</v>
      </c>
      <c r="B71" s="116" t="s">
        <v>129</v>
      </c>
      <c r="C71" s="116" t="s">
        <v>224</v>
      </c>
      <c r="D71" s="116">
        <v>1</v>
      </c>
      <c r="E71" s="116">
        <v>3</v>
      </c>
      <c r="F71" s="116" t="s">
        <v>108</v>
      </c>
      <c r="G71" s="116"/>
      <c r="H71" s="116"/>
      <c r="I71" s="116"/>
    </row>
    <row r="72" spans="1:9">
      <c r="A72" s="116" t="s">
        <v>133</v>
      </c>
      <c r="B72" s="116" t="s">
        <v>129</v>
      </c>
      <c r="C72" s="116" t="s">
        <v>224</v>
      </c>
      <c r="D72" s="116">
        <v>1</v>
      </c>
      <c r="E72" s="116">
        <v>2</v>
      </c>
      <c r="F72" s="116" t="s">
        <v>109</v>
      </c>
      <c r="G72" s="116"/>
      <c r="H72" s="116"/>
      <c r="I72" s="116"/>
    </row>
    <row r="73" spans="1:9">
      <c r="A73" s="115" t="s">
        <v>134</v>
      </c>
      <c r="B73" s="115" t="s">
        <v>129</v>
      </c>
      <c r="C73" s="115" t="s">
        <v>225</v>
      </c>
      <c r="D73" s="115">
        <v>1</v>
      </c>
      <c r="E73" s="115">
        <v>1</v>
      </c>
      <c r="F73" s="115" t="s">
        <v>110</v>
      </c>
      <c r="G73" s="115"/>
      <c r="H73" s="115"/>
      <c r="I73" s="115"/>
    </row>
    <row r="74" spans="1:9">
      <c r="A74" s="115" t="s">
        <v>134</v>
      </c>
      <c r="B74" s="115" t="s">
        <v>129</v>
      </c>
      <c r="C74" s="115" t="s">
        <v>225</v>
      </c>
      <c r="D74" s="115">
        <v>1</v>
      </c>
      <c r="E74" s="115">
        <v>3</v>
      </c>
      <c r="F74" s="115" t="s">
        <v>108</v>
      </c>
      <c r="G74" s="115"/>
      <c r="H74" s="115"/>
      <c r="I74" s="115"/>
    </row>
    <row r="75" spans="1:9">
      <c r="A75" s="115" t="s">
        <v>134</v>
      </c>
      <c r="B75" s="115" t="s">
        <v>129</v>
      </c>
      <c r="C75" s="115" t="s">
        <v>225</v>
      </c>
      <c r="D75" s="115">
        <v>1</v>
      </c>
      <c r="E75" s="115">
        <v>2</v>
      </c>
      <c r="F75" s="115" t="s">
        <v>109</v>
      </c>
      <c r="G75" s="115"/>
      <c r="H75" s="115"/>
      <c r="I75" s="115"/>
    </row>
    <row r="76" spans="1:9">
      <c r="A76" s="116" t="s">
        <v>5</v>
      </c>
      <c r="B76" s="116" t="s">
        <v>130</v>
      </c>
      <c r="C76" s="116" t="s">
        <v>226</v>
      </c>
      <c r="D76" s="116">
        <v>2</v>
      </c>
      <c r="E76" s="116">
        <v>13</v>
      </c>
      <c r="F76" s="116" t="s">
        <v>110</v>
      </c>
      <c r="G76" s="116" t="s">
        <v>108</v>
      </c>
      <c r="H76" s="116"/>
      <c r="I76" s="116"/>
    </row>
    <row r="77" spans="1:9">
      <c r="A77" s="116" t="s">
        <v>5</v>
      </c>
      <c r="B77" s="116" t="s">
        <v>130</v>
      </c>
      <c r="C77" s="116" t="s">
        <v>226</v>
      </c>
      <c r="D77" s="116">
        <v>2</v>
      </c>
      <c r="E77" s="116">
        <v>11</v>
      </c>
      <c r="F77" s="116" t="s">
        <v>110</v>
      </c>
      <c r="G77" s="116" t="s">
        <v>109</v>
      </c>
      <c r="H77" s="116"/>
      <c r="I77" s="116"/>
    </row>
    <row r="78" spans="1:9">
      <c r="A78" s="116" t="s">
        <v>5</v>
      </c>
      <c r="B78" s="116" t="s">
        <v>130</v>
      </c>
      <c r="C78" s="116" t="s">
        <v>226</v>
      </c>
      <c r="D78" s="116">
        <v>2</v>
      </c>
      <c r="E78" s="116">
        <v>9</v>
      </c>
      <c r="F78" s="116" t="s">
        <v>110</v>
      </c>
      <c r="G78" s="116" t="s">
        <v>111</v>
      </c>
      <c r="H78" s="116"/>
      <c r="I78" s="116"/>
    </row>
    <row r="79" spans="1:9">
      <c r="A79" s="116" t="s">
        <v>5</v>
      </c>
      <c r="B79" s="116" t="s">
        <v>130</v>
      </c>
      <c r="C79" s="116" t="s">
        <v>226</v>
      </c>
      <c r="D79" s="116">
        <v>2</v>
      </c>
      <c r="E79" s="116">
        <v>4</v>
      </c>
      <c r="F79" s="116" t="s">
        <v>110</v>
      </c>
      <c r="G79" s="116" t="s">
        <v>112</v>
      </c>
      <c r="H79" s="116"/>
      <c r="I79" s="116"/>
    </row>
    <row r="80" spans="1:9">
      <c r="A80" s="116" t="s">
        <v>5</v>
      </c>
      <c r="B80" s="116" t="s">
        <v>130</v>
      </c>
      <c r="C80" s="116" t="s">
        <v>226</v>
      </c>
      <c r="D80" s="116">
        <v>2</v>
      </c>
      <c r="E80" s="116">
        <v>3</v>
      </c>
      <c r="F80" s="116" t="s">
        <v>110</v>
      </c>
      <c r="G80" s="116" t="s">
        <v>113</v>
      </c>
      <c r="H80" s="116"/>
      <c r="I80" s="116"/>
    </row>
    <row r="81" spans="1:9">
      <c r="A81" s="116" t="s">
        <v>5</v>
      </c>
      <c r="B81" s="116" t="s">
        <v>130</v>
      </c>
      <c r="C81" s="116" t="s">
        <v>226</v>
      </c>
      <c r="D81" s="116">
        <v>2</v>
      </c>
      <c r="E81" s="116">
        <v>14</v>
      </c>
      <c r="F81" s="116" t="s">
        <v>108</v>
      </c>
      <c r="G81" s="116" t="s">
        <v>109</v>
      </c>
      <c r="H81" s="116"/>
      <c r="I81" s="116"/>
    </row>
    <row r="82" spans="1:9">
      <c r="A82" s="116" t="s">
        <v>5</v>
      </c>
      <c r="B82" s="116" t="s">
        <v>130</v>
      </c>
      <c r="C82" s="116" t="s">
        <v>226</v>
      </c>
      <c r="D82" s="116">
        <v>2</v>
      </c>
      <c r="E82" s="116">
        <v>12</v>
      </c>
      <c r="F82" s="116" t="s">
        <v>108</v>
      </c>
      <c r="G82" s="116" t="s">
        <v>111</v>
      </c>
      <c r="H82" s="116"/>
      <c r="I82" s="116"/>
    </row>
    <row r="83" spans="1:9">
      <c r="A83" s="116" t="s">
        <v>5</v>
      </c>
      <c r="B83" s="116" t="s">
        <v>130</v>
      </c>
      <c r="C83" s="116" t="s">
        <v>226</v>
      </c>
      <c r="D83" s="116">
        <v>2</v>
      </c>
      <c r="E83" s="116">
        <v>8</v>
      </c>
      <c r="F83" s="116" t="s">
        <v>108</v>
      </c>
      <c r="G83" s="116" t="s">
        <v>112</v>
      </c>
      <c r="H83" s="116"/>
      <c r="I83" s="116"/>
    </row>
    <row r="84" spans="1:9">
      <c r="A84" s="116" t="s">
        <v>5</v>
      </c>
      <c r="B84" s="116" t="s">
        <v>130</v>
      </c>
      <c r="C84" s="116" t="s">
        <v>226</v>
      </c>
      <c r="D84" s="116">
        <v>2</v>
      </c>
      <c r="E84" s="116">
        <v>7</v>
      </c>
      <c r="F84" s="116" t="s">
        <v>108</v>
      </c>
      <c r="G84" s="116" t="s">
        <v>113</v>
      </c>
      <c r="H84" s="116"/>
      <c r="I84" s="116"/>
    </row>
    <row r="85" spans="1:9">
      <c r="A85" s="116" t="s">
        <v>5</v>
      </c>
      <c r="B85" s="116" t="s">
        <v>130</v>
      </c>
      <c r="C85" s="116" t="s">
        <v>226</v>
      </c>
      <c r="D85" s="116">
        <v>2</v>
      </c>
      <c r="E85" s="116">
        <v>10</v>
      </c>
      <c r="F85" s="116" t="s">
        <v>109</v>
      </c>
      <c r="G85" s="116" t="s">
        <v>111</v>
      </c>
      <c r="H85" s="116"/>
      <c r="I85" s="116"/>
    </row>
    <row r="86" spans="1:9">
      <c r="A86" s="116" t="s">
        <v>5</v>
      </c>
      <c r="B86" s="116" t="s">
        <v>130</v>
      </c>
      <c r="C86" s="116" t="s">
        <v>226</v>
      </c>
      <c r="D86" s="116">
        <v>2</v>
      </c>
      <c r="E86" s="116">
        <v>6</v>
      </c>
      <c r="F86" s="116" t="s">
        <v>109</v>
      </c>
      <c r="G86" s="116" t="s">
        <v>112</v>
      </c>
      <c r="H86" s="116"/>
      <c r="I86" s="116"/>
    </row>
    <row r="87" spans="1:9">
      <c r="A87" s="116" t="s">
        <v>5</v>
      </c>
      <c r="B87" s="116" t="s">
        <v>130</v>
      </c>
      <c r="C87" s="116" t="s">
        <v>226</v>
      </c>
      <c r="D87" s="116">
        <v>2</v>
      </c>
      <c r="E87" s="116">
        <v>5</v>
      </c>
      <c r="F87" s="116" t="s">
        <v>109</v>
      </c>
      <c r="G87" s="116" t="s">
        <v>113</v>
      </c>
      <c r="H87" s="116"/>
      <c r="I87" s="116"/>
    </row>
    <row r="88" spans="1:9">
      <c r="A88" s="116" t="s">
        <v>5</v>
      </c>
      <c r="B88" s="116" t="s">
        <v>130</v>
      </c>
      <c r="C88" s="116" t="s">
        <v>226</v>
      </c>
      <c r="D88" s="116">
        <v>2</v>
      </c>
      <c r="E88" s="116">
        <v>2</v>
      </c>
      <c r="F88" s="116" t="s">
        <v>111</v>
      </c>
      <c r="G88" s="116" t="s">
        <v>112</v>
      </c>
      <c r="H88" s="116"/>
      <c r="I88" s="116"/>
    </row>
    <row r="89" spans="1:9">
      <c r="A89" s="116" t="s">
        <v>5</v>
      </c>
      <c r="B89" s="116" t="s">
        <v>130</v>
      </c>
      <c r="C89" s="116" t="s">
        <v>226</v>
      </c>
      <c r="D89" s="116">
        <v>2</v>
      </c>
      <c r="E89" s="116">
        <v>1</v>
      </c>
      <c r="F89" s="116" t="s">
        <v>111</v>
      </c>
      <c r="G89" s="116" t="s">
        <v>113</v>
      </c>
      <c r="H89" s="116"/>
      <c r="I89" s="116"/>
    </row>
    <row r="90" spans="1:9">
      <c r="A90" s="115" t="s">
        <v>133</v>
      </c>
      <c r="B90" s="115" t="s">
        <v>130</v>
      </c>
      <c r="C90" s="115" t="s">
        <v>227</v>
      </c>
      <c r="D90" s="115">
        <v>1</v>
      </c>
      <c r="E90" s="115">
        <v>2</v>
      </c>
      <c r="F90" s="115" t="s">
        <v>110</v>
      </c>
      <c r="G90" s="115"/>
      <c r="H90" s="115"/>
      <c r="I90" s="115"/>
    </row>
    <row r="91" spans="1:9">
      <c r="A91" s="115" t="s">
        <v>133</v>
      </c>
      <c r="B91" s="115" t="s">
        <v>130</v>
      </c>
      <c r="C91" s="115" t="s">
        <v>227</v>
      </c>
      <c r="D91" s="115">
        <v>1</v>
      </c>
      <c r="E91" s="115">
        <v>4</v>
      </c>
      <c r="F91" s="115" t="s">
        <v>108</v>
      </c>
      <c r="G91" s="115"/>
      <c r="H91" s="115"/>
      <c r="I91" s="115"/>
    </row>
    <row r="92" spans="1:9">
      <c r="A92" s="115" t="s">
        <v>133</v>
      </c>
      <c r="B92" s="115" t="s">
        <v>130</v>
      </c>
      <c r="C92" s="115" t="s">
        <v>227</v>
      </c>
      <c r="D92" s="115">
        <v>1</v>
      </c>
      <c r="E92" s="115">
        <v>3</v>
      </c>
      <c r="F92" s="115" t="s">
        <v>109</v>
      </c>
      <c r="G92" s="115"/>
      <c r="H92" s="115"/>
      <c r="I92" s="115"/>
    </row>
    <row r="93" spans="1:9">
      <c r="A93" s="115" t="s">
        <v>133</v>
      </c>
      <c r="B93" s="115" t="s">
        <v>130</v>
      </c>
      <c r="C93" s="115" t="s">
        <v>227</v>
      </c>
      <c r="D93" s="115">
        <v>1</v>
      </c>
      <c r="E93" s="115">
        <v>1</v>
      </c>
      <c r="F93" s="115" t="s">
        <v>111</v>
      </c>
      <c r="G93" s="115"/>
      <c r="H93" s="115"/>
      <c r="I93" s="115"/>
    </row>
    <row r="94" spans="1:9">
      <c r="A94" s="116" t="s">
        <v>134</v>
      </c>
      <c r="B94" s="116" t="s">
        <v>130</v>
      </c>
      <c r="C94" s="116" t="s">
        <v>228</v>
      </c>
      <c r="D94" s="116">
        <v>1</v>
      </c>
      <c r="E94" s="116">
        <v>2</v>
      </c>
      <c r="F94" s="116" t="s">
        <v>110</v>
      </c>
      <c r="G94" s="116"/>
      <c r="H94" s="116"/>
      <c r="I94" s="116"/>
    </row>
    <row r="95" spans="1:9">
      <c r="A95" s="116" t="s">
        <v>134</v>
      </c>
      <c r="B95" s="116" t="s">
        <v>130</v>
      </c>
      <c r="C95" s="116" t="s">
        <v>228</v>
      </c>
      <c r="D95" s="116">
        <v>1</v>
      </c>
      <c r="E95" s="116">
        <v>4</v>
      </c>
      <c r="F95" s="116" t="s">
        <v>108</v>
      </c>
      <c r="G95" s="116"/>
      <c r="H95" s="116"/>
      <c r="I95" s="116"/>
    </row>
    <row r="96" spans="1:9">
      <c r="A96" s="116" t="s">
        <v>134</v>
      </c>
      <c r="B96" s="116" t="s">
        <v>130</v>
      </c>
      <c r="C96" s="116" t="s">
        <v>228</v>
      </c>
      <c r="D96" s="116">
        <v>1</v>
      </c>
      <c r="E96" s="116">
        <v>3</v>
      </c>
      <c r="F96" s="116" t="s">
        <v>109</v>
      </c>
      <c r="G96" s="116"/>
      <c r="H96" s="116"/>
      <c r="I96" s="116"/>
    </row>
    <row r="97" spans="1:9">
      <c r="A97" s="116" t="s">
        <v>134</v>
      </c>
      <c r="B97" s="116" t="s">
        <v>130</v>
      </c>
      <c r="C97" s="116" t="s">
        <v>228</v>
      </c>
      <c r="D97" s="116">
        <v>1</v>
      </c>
      <c r="E97" s="116">
        <v>1</v>
      </c>
      <c r="F97" s="116" t="s">
        <v>111</v>
      </c>
      <c r="G97" s="116"/>
      <c r="H97" s="116"/>
      <c r="I97" s="116"/>
    </row>
    <row r="98" spans="1:9">
      <c r="A98" s="115" t="s">
        <v>6</v>
      </c>
      <c r="B98" s="115" t="s">
        <v>131</v>
      </c>
      <c r="C98" s="115" t="s">
        <v>229</v>
      </c>
      <c r="D98" s="115">
        <v>2</v>
      </c>
      <c r="E98" s="115">
        <v>12</v>
      </c>
      <c r="F98" s="115" t="s">
        <v>110</v>
      </c>
      <c r="G98" s="115" t="s">
        <v>108</v>
      </c>
      <c r="H98" s="115"/>
      <c r="I98" s="115"/>
    </row>
    <row r="99" spans="1:9">
      <c r="A99" s="115" t="s">
        <v>6</v>
      </c>
      <c r="B99" s="115" t="s">
        <v>131</v>
      </c>
      <c r="C99" s="115" t="s">
        <v>229</v>
      </c>
      <c r="D99" s="115">
        <v>2</v>
      </c>
      <c r="E99" s="115">
        <v>11</v>
      </c>
      <c r="F99" s="115" t="s">
        <v>110</v>
      </c>
      <c r="G99" s="115" t="s">
        <v>109</v>
      </c>
      <c r="H99" s="115"/>
      <c r="I99" s="115"/>
    </row>
    <row r="100" spans="1:9">
      <c r="A100" s="115" t="s">
        <v>6</v>
      </c>
      <c r="B100" s="115" t="s">
        <v>131</v>
      </c>
      <c r="C100" s="115" t="s">
        <v>229</v>
      </c>
      <c r="D100" s="115">
        <v>2</v>
      </c>
      <c r="E100" s="115">
        <v>9</v>
      </c>
      <c r="F100" s="115" t="s">
        <v>110</v>
      </c>
      <c r="G100" s="115" t="s">
        <v>111</v>
      </c>
      <c r="H100" s="115"/>
      <c r="I100" s="115"/>
    </row>
    <row r="101" spans="1:9">
      <c r="A101" s="115" t="s">
        <v>6</v>
      </c>
      <c r="B101" s="115" t="s">
        <v>131</v>
      </c>
      <c r="C101" s="115" t="s">
        <v>229</v>
      </c>
      <c r="D101" s="115">
        <v>2</v>
      </c>
      <c r="E101" s="115">
        <v>4</v>
      </c>
      <c r="F101" s="115" t="s">
        <v>110</v>
      </c>
      <c r="G101" s="115" t="s">
        <v>112</v>
      </c>
      <c r="H101" s="115"/>
      <c r="I101" s="115"/>
    </row>
    <row r="102" spans="1:9">
      <c r="A102" s="115" t="s">
        <v>6</v>
      </c>
      <c r="B102" s="115" t="s">
        <v>131</v>
      </c>
      <c r="C102" s="115" t="s">
        <v>229</v>
      </c>
      <c r="D102" s="115">
        <v>2</v>
      </c>
      <c r="E102" s="115">
        <v>1</v>
      </c>
      <c r="F102" s="115" t="s">
        <v>110</v>
      </c>
      <c r="G102" s="115" t="s">
        <v>113</v>
      </c>
      <c r="H102" s="115"/>
      <c r="I102" s="115"/>
    </row>
    <row r="103" spans="1:9">
      <c r="A103" s="115" t="s">
        <v>6</v>
      </c>
      <c r="B103" s="115" t="s">
        <v>131</v>
      </c>
      <c r="C103" s="115" t="s">
        <v>229</v>
      </c>
      <c r="D103" s="115">
        <v>2</v>
      </c>
      <c r="E103" s="115">
        <v>14</v>
      </c>
      <c r="F103" s="115" t="s">
        <v>108</v>
      </c>
      <c r="G103" s="115" t="s">
        <v>109</v>
      </c>
      <c r="H103" s="115"/>
      <c r="I103" s="115"/>
    </row>
    <row r="104" spans="1:9">
      <c r="A104" s="115" t="s">
        <v>6</v>
      </c>
      <c r="B104" s="115" t="s">
        <v>131</v>
      </c>
      <c r="C104" s="115" t="s">
        <v>229</v>
      </c>
      <c r="D104" s="115">
        <v>2</v>
      </c>
      <c r="E104" s="115">
        <v>13</v>
      </c>
      <c r="F104" s="115" t="s">
        <v>108</v>
      </c>
      <c r="G104" s="115" t="s">
        <v>111</v>
      </c>
      <c r="H104" s="115"/>
      <c r="I104" s="115"/>
    </row>
    <row r="105" spans="1:9">
      <c r="A105" s="115" t="s">
        <v>6</v>
      </c>
      <c r="B105" s="115" t="s">
        <v>131</v>
      </c>
      <c r="C105" s="115" t="s">
        <v>229</v>
      </c>
      <c r="D105" s="115">
        <v>2</v>
      </c>
      <c r="E105" s="115">
        <v>8</v>
      </c>
      <c r="F105" s="115" t="s">
        <v>108</v>
      </c>
      <c r="G105" s="115" t="s">
        <v>112</v>
      </c>
      <c r="H105" s="115"/>
      <c r="I105" s="115"/>
    </row>
    <row r="106" spans="1:9">
      <c r="A106" s="115" t="s">
        <v>6</v>
      </c>
      <c r="B106" s="115" t="s">
        <v>131</v>
      </c>
      <c r="C106" s="115" t="s">
        <v>229</v>
      </c>
      <c r="D106" s="115">
        <v>2</v>
      </c>
      <c r="E106" s="115">
        <v>7</v>
      </c>
      <c r="F106" s="115" t="s">
        <v>108</v>
      </c>
      <c r="G106" s="115" t="s">
        <v>113</v>
      </c>
      <c r="H106" s="115"/>
      <c r="I106" s="115"/>
    </row>
    <row r="107" spans="1:9">
      <c r="A107" s="115" t="s">
        <v>6</v>
      </c>
      <c r="B107" s="115" t="s">
        <v>131</v>
      </c>
      <c r="C107" s="115" t="s">
        <v>229</v>
      </c>
      <c r="D107" s="115">
        <v>2</v>
      </c>
      <c r="E107" s="115">
        <v>10</v>
      </c>
      <c r="F107" s="115" t="s">
        <v>109</v>
      </c>
      <c r="G107" s="115" t="s">
        <v>111</v>
      </c>
      <c r="H107" s="115"/>
      <c r="I107" s="115"/>
    </row>
    <row r="108" spans="1:9">
      <c r="A108" s="115" t="s">
        <v>6</v>
      </c>
      <c r="B108" s="115" t="s">
        <v>131</v>
      </c>
      <c r="C108" s="115" t="s">
        <v>229</v>
      </c>
      <c r="D108" s="115">
        <v>2</v>
      </c>
      <c r="E108" s="115">
        <v>6</v>
      </c>
      <c r="F108" s="115" t="s">
        <v>109</v>
      </c>
      <c r="G108" s="115" t="s">
        <v>112</v>
      </c>
      <c r="H108" s="115"/>
      <c r="I108" s="115"/>
    </row>
    <row r="109" spans="1:9">
      <c r="A109" s="115" t="s">
        <v>6</v>
      </c>
      <c r="B109" s="115" t="s">
        <v>131</v>
      </c>
      <c r="C109" s="115" t="s">
        <v>229</v>
      </c>
      <c r="D109" s="115">
        <v>2</v>
      </c>
      <c r="E109" s="115">
        <v>5</v>
      </c>
      <c r="F109" s="115" t="s">
        <v>109</v>
      </c>
      <c r="G109" s="115" t="s">
        <v>113</v>
      </c>
      <c r="H109" s="115"/>
      <c r="I109" s="115"/>
    </row>
    <row r="110" spans="1:9">
      <c r="A110" s="115" t="s">
        <v>6</v>
      </c>
      <c r="B110" s="115" t="s">
        <v>131</v>
      </c>
      <c r="C110" s="115" t="s">
        <v>229</v>
      </c>
      <c r="D110" s="115">
        <v>2</v>
      </c>
      <c r="E110" s="115">
        <v>3</v>
      </c>
      <c r="F110" s="115" t="s">
        <v>111</v>
      </c>
      <c r="G110" s="115" t="s">
        <v>112</v>
      </c>
      <c r="H110" s="115"/>
      <c r="I110" s="115"/>
    </row>
    <row r="111" spans="1:9">
      <c r="A111" s="115" t="s">
        <v>6</v>
      </c>
      <c r="B111" s="115" t="s">
        <v>131</v>
      </c>
      <c r="C111" s="115" t="s">
        <v>229</v>
      </c>
      <c r="D111" s="115">
        <v>2</v>
      </c>
      <c r="E111" s="115">
        <v>2</v>
      </c>
      <c r="F111" s="115" t="s">
        <v>111</v>
      </c>
      <c r="G111" s="115" t="s">
        <v>113</v>
      </c>
      <c r="H111" s="115"/>
      <c r="I111" s="115"/>
    </row>
    <row r="112" spans="1:9">
      <c r="A112" s="116" t="s">
        <v>134</v>
      </c>
      <c r="B112" s="116" t="s">
        <v>131</v>
      </c>
      <c r="C112" s="116" t="s">
        <v>230</v>
      </c>
      <c r="D112" s="116">
        <v>1</v>
      </c>
      <c r="E112" s="116">
        <v>1</v>
      </c>
      <c r="F112" s="116" t="s">
        <v>110</v>
      </c>
      <c r="G112" s="116"/>
      <c r="H112" s="116"/>
      <c r="I112" s="116"/>
    </row>
    <row r="113" spans="1:9">
      <c r="A113" s="116" t="s">
        <v>134</v>
      </c>
      <c r="B113" s="116" t="s">
        <v>131</v>
      </c>
      <c r="C113" s="116" t="s">
        <v>230</v>
      </c>
      <c r="D113" s="116">
        <v>1</v>
      </c>
      <c r="E113" s="116">
        <v>4</v>
      </c>
      <c r="F113" s="116" t="s">
        <v>108</v>
      </c>
      <c r="G113" s="116"/>
      <c r="H113" s="116"/>
      <c r="I113" s="116"/>
    </row>
    <row r="114" spans="1:9">
      <c r="A114" s="116" t="s">
        <v>134</v>
      </c>
      <c r="B114" s="116" t="s">
        <v>131</v>
      </c>
      <c r="C114" s="116" t="s">
        <v>230</v>
      </c>
      <c r="D114" s="116">
        <v>1</v>
      </c>
      <c r="E114" s="116">
        <v>3</v>
      </c>
      <c r="F114" s="116" t="s">
        <v>109</v>
      </c>
      <c r="G114" s="116"/>
      <c r="H114" s="116"/>
      <c r="I114" s="116"/>
    </row>
    <row r="115" spans="1:9">
      <c r="A115" s="116" t="s">
        <v>134</v>
      </c>
      <c r="B115" s="116" t="s">
        <v>131</v>
      </c>
      <c r="C115" s="116" t="s">
        <v>230</v>
      </c>
      <c r="D115" s="116">
        <v>1</v>
      </c>
      <c r="E115" s="116">
        <v>2</v>
      </c>
      <c r="F115" s="116" t="s">
        <v>111</v>
      </c>
      <c r="G115" s="116"/>
      <c r="H115" s="116"/>
      <c r="I115" s="11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zoomScaleNormal="100" workbookViewId="0">
      <selection activeCell="A4" sqref="A4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27.8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2" width="14.625" style="6" bestFit="1" customWidth="1"/>
    <col min="13" max="13" width="16.875" style="6" bestFit="1" customWidth="1"/>
    <col min="14" max="15" width="17.125" style="6" bestFit="1" customWidth="1"/>
    <col min="16" max="16" width="14.125" style="6" bestFit="1" customWidth="1"/>
    <col min="17" max="17" width="16.875" style="6" bestFit="1" customWidth="1"/>
    <col min="18" max="18" width="11.625" style="6" bestFit="1" customWidth="1"/>
    <col min="19" max="16384" width="8.75" style="6"/>
  </cols>
  <sheetData>
    <row r="1" spans="1:18">
      <c r="A1" s="4" t="s">
        <v>125</v>
      </c>
      <c r="B1" s="4"/>
      <c r="C1" s="5"/>
      <c r="D1" s="4" t="s">
        <v>148</v>
      </c>
      <c r="E1" s="4" t="s">
        <v>148</v>
      </c>
      <c r="F1" s="4" t="s">
        <v>191</v>
      </c>
      <c r="G1" s="4" t="s">
        <v>192</v>
      </c>
      <c r="H1" s="4" t="s">
        <v>5</v>
      </c>
      <c r="I1" s="4" t="s">
        <v>6</v>
      </c>
      <c r="J1" s="4" t="s">
        <v>133</v>
      </c>
      <c r="K1" s="4" t="s">
        <v>149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</row>
    <row r="2" spans="1:18">
      <c r="A2" s="4" t="s">
        <v>126</v>
      </c>
      <c r="B2" s="4"/>
      <c r="C2" s="4"/>
      <c r="D2" s="4" t="s">
        <v>190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</row>
    <row r="3" spans="1:18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>
      <c r="A5" s="8" t="s">
        <v>150</v>
      </c>
      <c r="B5" s="9"/>
      <c r="C5" s="9"/>
      <c r="D5" s="9">
        <v>1</v>
      </c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</row>
    <row r="6" spans="1:18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4" t="s">
        <v>8</v>
      </c>
      <c r="B7" s="7" t="s">
        <v>9</v>
      </c>
      <c r="C7" s="12" t="s">
        <v>193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4" t="s">
        <v>10</v>
      </c>
      <c r="B8" s="7" t="s">
        <v>195</v>
      </c>
      <c r="C8" s="12" t="s">
        <v>194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customWidth="1"/>
    <col min="4" max="4" width="16.5" bestFit="1" customWidth="1"/>
    <col min="5" max="6" width="3.625" customWidth="1"/>
    <col min="7" max="7" width="5.5" bestFit="1" customWidth="1"/>
    <col min="8" max="10" width="3.625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8" width="4.375" bestFit="1" customWidth="1"/>
    <col min="19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5" width="4.625" bestFit="1" customWidth="1"/>
    <col min="26" max="26" width="5.5" bestFit="1" customWidth="1"/>
    <col min="27" max="27" width="4.625" bestFit="1" customWidth="1"/>
    <col min="28" max="28" width="26.5" bestFit="1" customWidth="1"/>
    <col min="29" max="31" width="4.625" bestFit="1" customWidth="1"/>
    <col min="32" max="32" width="5.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7.75" bestFit="1" customWidth="1"/>
    <col min="38" max="38" width="3.625" customWidth="1"/>
  </cols>
  <sheetData>
    <row r="1" spans="1:38" ht="19.149999999999999" customHeight="1" thickBot="1">
      <c r="A1" s="17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3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28">
        <f>DATEVALUE(A2&amp;"/"&amp;B2&amp;"/1")</f>
        <v>46082</v>
      </c>
      <c r="D4" s="50">
        <f>C4+1</f>
        <v>46083</v>
      </c>
      <c r="E4" s="29">
        <f t="shared" ref="E4:T5" si="0">D4+1</f>
        <v>46084</v>
      </c>
      <c r="F4" s="29">
        <f t="shared" si="0"/>
        <v>46085</v>
      </c>
      <c r="G4" s="29">
        <f t="shared" si="0"/>
        <v>46086</v>
      </c>
      <c r="H4" s="29">
        <f t="shared" si="0"/>
        <v>46087</v>
      </c>
      <c r="I4" s="28">
        <f t="shared" si="0"/>
        <v>46088</v>
      </c>
      <c r="J4" s="28">
        <f t="shared" si="0"/>
        <v>46089</v>
      </c>
      <c r="K4" s="29">
        <f t="shared" si="0"/>
        <v>46090</v>
      </c>
      <c r="L4" s="29">
        <f t="shared" si="0"/>
        <v>46091</v>
      </c>
      <c r="M4" s="29">
        <f t="shared" si="0"/>
        <v>46092</v>
      </c>
      <c r="N4" s="50">
        <f t="shared" si="0"/>
        <v>46093</v>
      </c>
      <c r="O4" s="29">
        <f t="shared" si="0"/>
        <v>46094</v>
      </c>
      <c r="P4" s="28">
        <f t="shared" si="0"/>
        <v>46095</v>
      </c>
      <c r="Q4" s="28">
        <f t="shared" si="0"/>
        <v>46096</v>
      </c>
      <c r="R4" s="29">
        <f t="shared" si="0"/>
        <v>46097</v>
      </c>
      <c r="S4" s="29">
        <f t="shared" si="0"/>
        <v>46098</v>
      </c>
      <c r="T4" s="29">
        <f t="shared" si="0"/>
        <v>46099</v>
      </c>
      <c r="U4" s="29">
        <f t="shared" ref="U4:AC5" si="1">T4+1</f>
        <v>46100</v>
      </c>
      <c r="V4" s="29">
        <f t="shared" si="1"/>
        <v>46101</v>
      </c>
      <c r="W4" s="28">
        <f t="shared" si="1"/>
        <v>46102</v>
      </c>
      <c r="X4" s="28">
        <f t="shared" si="1"/>
        <v>46103</v>
      </c>
      <c r="Y4" s="50">
        <f t="shared" si="1"/>
        <v>46104</v>
      </c>
      <c r="Z4" s="29">
        <f t="shared" si="1"/>
        <v>46105</v>
      </c>
      <c r="AA4" s="29">
        <f t="shared" si="1"/>
        <v>46106</v>
      </c>
      <c r="AB4" s="29">
        <f t="shared" si="1"/>
        <v>46107</v>
      </c>
      <c r="AC4" s="29">
        <f t="shared" si="1"/>
        <v>46108</v>
      </c>
      <c r="AD4" s="30">
        <f>AC4+1</f>
        <v>46109</v>
      </c>
      <c r="AE4" s="30">
        <f t="shared" ref="AE4:AG5" si="2">AD4+1</f>
        <v>46110</v>
      </c>
      <c r="AF4" s="29">
        <f t="shared" si="2"/>
        <v>46111</v>
      </c>
      <c r="AG4" s="29">
        <f t="shared" si="2"/>
        <v>46112</v>
      </c>
      <c r="AH4" s="31"/>
      <c r="AI4" s="32">
        <v>20</v>
      </c>
      <c r="AJ4" s="6"/>
      <c r="AK4" s="6"/>
      <c r="AL4" s="31"/>
    </row>
    <row r="5" spans="1:38" ht="19.149999999999999" customHeight="1">
      <c r="A5" s="27"/>
      <c r="B5" s="51" t="s">
        <v>163</v>
      </c>
      <c r="C5" s="33">
        <f>C4</f>
        <v>46082</v>
      </c>
      <c r="D5" s="52">
        <f>C5+1</f>
        <v>46083</v>
      </c>
      <c r="E5" s="34">
        <f t="shared" si="0"/>
        <v>46084</v>
      </c>
      <c r="F5" s="34">
        <f t="shared" si="0"/>
        <v>46085</v>
      </c>
      <c r="G5" s="34">
        <f t="shared" si="0"/>
        <v>46086</v>
      </c>
      <c r="H5" s="34">
        <f t="shared" si="0"/>
        <v>46087</v>
      </c>
      <c r="I5" s="33">
        <f t="shared" si="0"/>
        <v>46088</v>
      </c>
      <c r="J5" s="33">
        <f t="shared" si="0"/>
        <v>46089</v>
      </c>
      <c r="K5" s="34">
        <f t="shared" si="0"/>
        <v>46090</v>
      </c>
      <c r="L5" s="34">
        <f t="shared" si="0"/>
        <v>46091</v>
      </c>
      <c r="M5" s="34">
        <f t="shared" si="0"/>
        <v>46092</v>
      </c>
      <c r="N5" s="52">
        <f t="shared" si="0"/>
        <v>46093</v>
      </c>
      <c r="O5" s="34">
        <f t="shared" si="0"/>
        <v>46094</v>
      </c>
      <c r="P5" s="33">
        <f t="shared" si="0"/>
        <v>46095</v>
      </c>
      <c r="Q5" s="33">
        <f t="shared" si="0"/>
        <v>46096</v>
      </c>
      <c r="R5" s="34">
        <f t="shared" si="0"/>
        <v>46097</v>
      </c>
      <c r="S5" s="34">
        <f t="shared" si="0"/>
        <v>46098</v>
      </c>
      <c r="T5" s="34">
        <f t="shared" si="0"/>
        <v>46099</v>
      </c>
      <c r="U5" s="34">
        <f t="shared" si="1"/>
        <v>46100</v>
      </c>
      <c r="V5" s="34">
        <f t="shared" si="1"/>
        <v>46101</v>
      </c>
      <c r="W5" s="33">
        <f t="shared" si="1"/>
        <v>46102</v>
      </c>
      <c r="X5" s="33">
        <f t="shared" si="1"/>
        <v>46103</v>
      </c>
      <c r="Y5" s="52">
        <f t="shared" si="1"/>
        <v>46104</v>
      </c>
      <c r="Z5" s="34">
        <f t="shared" si="1"/>
        <v>46105</v>
      </c>
      <c r="AA5" s="34">
        <f t="shared" si="1"/>
        <v>46106</v>
      </c>
      <c r="AB5" s="34">
        <f t="shared" si="1"/>
        <v>46107</v>
      </c>
      <c r="AC5" s="34">
        <f t="shared" si="1"/>
        <v>46108</v>
      </c>
      <c r="AD5" s="35">
        <f>AC5+1</f>
        <v>46109</v>
      </c>
      <c r="AE5" s="35">
        <f t="shared" si="2"/>
        <v>46110</v>
      </c>
      <c r="AF5" s="34">
        <f t="shared" si="2"/>
        <v>46111</v>
      </c>
      <c r="AG5" s="34">
        <f t="shared" si="2"/>
        <v>46112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149999999999999" customHeight="1">
      <c r="A6" s="27" t="s">
        <v>167</v>
      </c>
      <c r="B6" s="51"/>
      <c r="C6" s="38"/>
      <c r="D6" s="51"/>
      <c r="E6" s="39"/>
      <c r="F6" s="39"/>
      <c r="G6" s="39"/>
      <c r="H6" s="39"/>
      <c r="I6" s="38"/>
      <c r="J6" s="38"/>
      <c r="K6" s="39"/>
      <c r="L6" s="39"/>
      <c r="M6" s="39"/>
      <c r="N6" s="51"/>
      <c r="O6" s="40" t="s">
        <v>153</v>
      </c>
      <c r="P6" s="38"/>
      <c r="Q6" s="38"/>
      <c r="R6" s="40" t="s">
        <v>153</v>
      </c>
      <c r="S6" s="39"/>
      <c r="T6" s="39"/>
      <c r="U6" s="39"/>
      <c r="V6" s="39"/>
      <c r="W6" s="38"/>
      <c r="X6" s="38"/>
      <c r="Y6" s="51"/>
      <c r="Z6" s="39"/>
      <c r="AA6" s="39"/>
      <c r="AB6" s="39"/>
      <c r="AC6" s="39"/>
      <c r="AD6" s="41"/>
      <c r="AE6" s="41"/>
      <c r="AF6" s="51"/>
      <c r="AG6" s="51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149999999999999" customHeight="1">
      <c r="A7" s="27"/>
      <c r="B7" s="51"/>
      <c r="C7" s="38"/>
      <c r="D7" s="51"/>
      <c r="E7" s="39"/>
      <c r="F7" s="39"/>
      <c r="G7" s="39"/>
      <c r="H7" s="39"/>
      <c r="I7" s="38"/>
      <c r="J7" s="38"/>
      <c r="K7" s="39"/>
      <c r="L7" s="39"/>
      <c r="M7" s="39"/>
      <c r="N7" s="51"/>
      <c r="O7" s="39"/>
      <c r="P7" s="38"/>
      <c r="Q7" s="38"/>
      <c r="R7" s="39"/>
      <c r="S7" s="39"/>
      <c r="T7" s="39"/>
      <c r="U7" s="39"/>
      <c r="V7" s="39"/>
      <c r="W7" s="38"/>
      <c r="X7" s="38"/>
      <c r="Y7" s="51"/>
      <c r="Z7" s="39"/>
      <c r="AA7" s="39"/>
      <c r="AB7" s="39"/>
      <c r="AC7" s="39"/>
      <c r="AD7" s="41"/>
      <c r="AE7" s="41"/>
      <c r="AF7" s="51"/>
      <c r="AG7" s="51"/>
      <c r="AH7" s="27"/>
      <c r="AI7" s="42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149999999999999" customHeight="1">
      <c r="A8" s="27" t="s">
        <v>168</v>
      </c>
      <c r="B8" s="51"/>
      <c r="C8" s="38"/>
      <c r="D8" s="51"/>
      <c r="E8" s="39"/>
      <c r="F8" s="39"/>
      <c r="G8" s="39"/>
      <c r="H8" s="39"/>
      <c r="I8" s="38"/>
      <c r="J8" s="38"/>
      <c r="K8" s="39"/>
      <c r="L8" s="39"/>
      <c r="M8" s="39"/>
      <c r="N8" s="51"/>
      <c r="O8" s="39"/>
      <c r="P8" s="38"/>
      <c r="Q8" s="38"/>
      <c r="R8" s="39"/>
      <c r="S8" s="39"/>
      <c r="T8" s="39"/>
      <c r="U8" s="39"/>
      <c r="V8" s="40" t="s">
        <v>153</v>
      </c>
      <c r="W8" s="38"/>
      <c r="X8" s="38"/>
      <c r="Y8" s="51"/>
      <c r="Z8" s="39"/>
      <c r="AA8" s="39"/>
      <c r="AB8" s="39"/>
      <c r="AC8" s="39"/>
      <c r="AD8" s="41"/>
      <c r="AE8" s="41"/>
      <c r="AF8" s="51"/>
      <c r="AG8" s="51"/>
      <c r="AH8" s="27" t="s">
        <v>115</v>
      </c>
      <c r="AI8" s="42">
        <f t="shared" si="3"/>
        <v>141.55000000000001</v>
      </c>
      <c r="AJ8" s="7">
        <v>0</v>
      </c>
      <c r="AK8" s="42">
        <v>7.25</v>
      </c>
      <c r="AL8" s="6"/>
    </row>
    <row r="9" spans="1:38" ht="19.149999999999999" customHeight="1">
      <c r="A9" s="27" t="s">
        <v>116</v>
      </c>
      <c r="B9" s="51"/>
      <c r="C9" s="38"/>
      <c r="D9" s="40" t="s">
        <v>169</v>
      </c>
      <c r="E9" s="40" t="s">
        <v>169</v>
      </c>
      <c r="F9" s="40" t="s">
        <v>169</v>
      </c>
      <c r="G9" s="40" t="s">
        <v>169</v>
      </c>
      <c r="H9" s="40" t="s">
        <v>169</v>
      </c>
      <c r="I9" s="38"/>
      <c r="J9" s="38"/>
      <c r="K9" s="39"/>
      <c r="L9" s="39"/>
      <c r="M9" s="39"/>
      <c r="N9" s="51"/>
      <c r="O9" s="39"/>
      <c r="P9" s="38"/>
      <c r="Q9" s="38"/>
      <c r="R9" s="39"/>
      <c r="S9" s="39"/>
      <c r="T9" s="39"/>
      <c r="U9" s="39"/>
      <c r="V9" s="40" t="s">
        <v>153</v>
      </c>
      <c r="W9" s="38"/>
      <c r="X9" s="38"/>
      <c r="Y9" s="51"/>
      <c r="Z9" s="39"/>
      <c r="AA9" s="39"/>
      <c r="AB9" s="40" t="s">
        <v>170</v>
      </c>
      <c r="AC9" s="39"/>
      <c r="AD9" s="41"/>
      <c r="AE9" s="41"/>
      <c r="AF9" s="51"/>
      <c r="AG9" s="51"/>
      <c r="AH9" s="27" t="s">
        <v>118</v>
      </c>
      <c r="AI9" s="42">
        <f t="shared" si="3"/>
        <v>100.15</v>
      </c>
      <c r="AJ9" s="7">
        <v>0</v>
      </c>
      <c r="AK9" s="42">
        <v>0.25</v>
      </c>
      <c r="AL9" s="6"/>
    </row>
    <row r="10" spans="1:38" ht="19.149999999999999" customHeight="1">
      <c r="A10" s="27"/>
      <c r="B10" s="51"/>
      <c r="C10" s="38"/>
      <c r="D10" s="51"/>
      <c r="E10" s="39"/>
      <c r="F10" s="39"/>
      <c r="G10" s="39"/>
      <c r="H10" s="39"/>
      <c r="I10" s="38"/>
      <c r="J10" s="38"/>
      <c r="K10" s="39"/>
      <c r="L10" s="39"/>
      <c r="M10" s="39"/>
      <c r="N10" s="51"/>
      <c r="O10" s="39"/>
      <c r="P10" s="38"/>
      <c r="Q10" s="38"/>
      <c r="R10" s="39"/>
      <c r="S10" s="39"/>
      <c r="T10" s="39"/>
      <c r="U10" s="39"/>
      <c r="V10" s="39"/>
      <c r="W10" s="38"/>
      <c r="X10" s="38"/>
      <c r="Y10" s="51"/>
      <c r="Z10" s="39"/>
      <c r="AA10" s="39"/>
      <c r="AB10" s="39"/>
      <c r="AC10" s="39"/>
      <c r="AD10" s="41"/>
      <c r="AE10" s="41"/>
      <c r="AF10" s="51"/>
      <c r="AG10" s="51"/>
      <c r="AH10" s="27"/>
      <c r="AI10" s="42"/>
      <c r="AJ10" s="7"/>
      <c r="AK10" s="42"/>
      <c r="AL10" s="6"/>
    </row>
    <row r="11" spans="1:38" ht="19.149999999999999" customHeight="1">
      <c r="A11" s="27" t="s">
        <v>171</v>
      </c>
      <c r="B11" s="51" t="s">
        <v>172</v>
      </c>
      <c r="C11" s="38"/>
      <c r="D11" s="51"/>
      <c r="E11" s="39"/>
      <c r="F11" s="40" t="s">
        <v>153</v>
      </c>
      <c r="G11" s="39"/>
      <c r="H11" s="39"/>
      <c r="I11" s="38"/>
      <c r="J11" s="38"/>
      <c r="K11" s="39"/>
      <c r="L11" s="39"/>
      <c r="M11" s="39"/>
      <c r="N11" s="51"/>
      <c r="O11" s="39"/>
      <c r="P11" s="38"/>
      <c r="Q11" s="38"/>
      <c r="R11" s="39"/>
      <c r="S11" s="39"/>
      <c r="T11" s="39"/>
      <c r="U11" s="39"/>
      <c r="V11" s="39"/>
      <c r="W11" s="38"/>
      <c r="X11" s="38"/>
      <c r="Y11" s="51"/>
      <c r="Z11" s="39"/>
      <c r="AA11" s="39"/>
      <c r="AB11" s="39"/>
      <c r="AC11" s="39"/>
      <c r="AD11" s="41"/>
      <c r="AE11" s="41"/>
      <c r="AF11" s="51"/>
      <c r="AG11" s="51"/>
      <c r="AH11" s="27" t="s">
        <v>119</v>
      </c>
      <c r="AI11" s="42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2">
        <v>5.75</v>
      </c>
      <c r="AL11" s="6"/>
    </row>
    <row r="12" spans="1:38" ht="19.149999999999999" customHeight="1">
      <c r="A12" s="27" t="s">
        <v>108</v>
      </c>
      <c r="B12" s="51" t="s">
        <v>172</v>
      </c>
      <c r="C12" s="38"/>
      <c r="D12" s="51"/>
      <c r="E12" s="39"/>
      <c r="F12" s="39"/>
      <c r="G12" s="40" t="s">
        <v>170</v>
      </c>
      <c r="H12" s="39"/>
      <c r="I12" s="38"/>
      <c r="J12" s="38"/>
      <c r="K12" s="40" t="s">
        <v>170</v>
      </c>
      <c r="L12" s="39"/>
      <c r="M12" s="39"/>
      <c r="N12" s="51"/>
      <c r="O12" s="39"/>
      <c r="P12" s="38"/>
      <c r="Q12" s="38"/>
      <c r="R12" s="39"/>
      <c r="S12" s="40" t="s">
        <v>170</v>
      </c>
      <c r="T12" s="39"/>
      <c r="U12" s="39"/>
      <c r="V12" s="39"/>
      <c r="W12" s="38"/>
      <c r="X12" s="38"/>
      <c r="Y12" s="51"/>
      <c r="Z12" s="39"/>
      <c r="AA12" s="39"/>
      <c r="AB12" s="39"/>
      <c r="AC12" s="39"/>
      <c r="AD12" s="41"/>
      <c r="AE12" s="41"/>
      <c r="AF12" s="51"/>
      <c r="AG12" s="51"/>
      <c r="AH12" s="27" t="s">
        <v>108</v>
      </c>
      <c r="AI12" s="42">
        <f t="shared" si="4"/>
        <v>136.55000000000001</v>
      </c>
      <c r="AJ12" s="7">
        <v>1</v>
      </c>
      <c r="AK12" s="42">
        <v>10.25</v>
      </c>
      <c r="AL12" s="6"/>
    </row>
    <row r="13" spans="1:38" ht="19.149999999999999" customHeight="1">
      <c r="A13" s="27" t="s">
        <v>110</v>
      </c>
      <c r="B13" s="51" t="s">
        <v>172</v>
      </c>
      <c r="C13" s="38"/>
      <c r="D13" s="51"/>
      <c r="E13" s="39"/>
      <c r="F13" s="39"/>
      <c r="G13" s="39"/>
      <c r="H13" s="39"/>
      <c r="I13" s="38"/>
      <c r="J13" s="38"/>
      <c r="K13" s="39"/>
      <c r="L13" s="39"/>
      <c r="M13" s="39"/>
      <c r="N13" s="40" t="s">
        <v>153</v>
      </c>
      <c r="O13" s="39"/>
      <c r="P13" s="38"/>
      <c r="Q13" s="38"/>
      <c r="R13" s="39"/>
      <c r="S13" s="39"/>
      <c r="T13" s="40" t="s">
        <v>173</v>
      </c>
      <c r="U13" s="39"/>
      <c r="V13" s="39"/>
      <c r="W13" s="38"/>
      <c r="X13" s="38"/>
      <c r="Y13" s="51"/>
      <c r="Z13" s="39"/>
      <c r="AA13" s="39"/>
      <c r="AB13" s="39"/>
      <c r="AC13" s="39"/>
      <c r="AD13" s="41"/>
      <c r="AE13" s="41"/>
      <c r="AF13" s="51"/>
      <c r="AG13" s="51"/>
      <c r="AH13" s="27" t="s">
        <v>110</v>
      </c>
      <c r="AI13" s="42">
        <f t="shared" si="4"/>
        <v>138.04999999999998</v>
      </c>
      <c r="AJ13" s="7">
        <v>1</v>
      </c>
      <c r="AK13" s="42">
        <v>1</v>
      </c>
      <c r="AL13" s="6"/>
    </row>
    <row r="14" spans="1:38" ht="19.149999999999999" customHeight="1">
      <c r="A14" s="27"/>
      <c r="B14" s="51"/>
      <c r="C14" s="38"/>
      <c r="D14" s="51"/>
      <c r="E14" s="39"/>
      <c r="F14" s="39"/>
      <c r="G14" s="39"/>
      <c r="H14" s="39"/>
      <c r="I14" s="38"/>
      <c r="J14" s="38"/>
      <c r="K14" s="39"/>
      <c r="L14" s="39"/>
      <c r="M14" s="39"/>
      <c r="N14" s="51"/>
      <c r="O14" s="39"/>
      <c r="P14" s="38"/>
      <c r="Q14" s="38"/>
      <c r="R14" s="39"/>
      <c r="S14" s="39"/>
      <c r="T14" s="39"/>
      <c r="U14" s="39"/>
      <c r="V14" s="39"/>
      <c r="W14" s="38"/>
      <c r="X14" s="38"/>
      <c r="Y14" s="51"/>
      <c r="Z14" s="39"/>
      <c r="AA14" s="39"/>
      <c r="AB14" s="39"/>
      <c r="AC14" s="39"/>
      <c r="AD14" s="41"/>
      <c r="AE14" s="41"/>
      <c r="AF14" s="51"/>
      <c r="AG14" s="51"/>
      <c r="AH14" s="27"/>
      <c r="AI14" s="42"/>
      <c r="AJ14" s="7"/>
      <c r="AK14" s="42"/>
      <c r="AL14" s="6"/>
    </row>
    <row r="15" spans="1:38" ht="19.149999999999999" customHeight="1">
      <c r="A15" s="27" t="s">
        <v>174</v>
      </c>
      <c r="B15" s="51" t="s">
        <v>172</v>
      </c>
      <c r="C15" s="38"/>
      <c r="D15" s="51"/>
      <c r="E15" s="39"/>
      <c r="F15" s="39"/>
      <c r="G15" s="39"/>
      <c r="H15" s="40" t="s">
        <v>153</v>
      </c>
      <c r="I15" s="38"/>
      <c r="J15" s="38"/>
      <c r="K15" s="39"/>
      <c r="L15" s="39"/>
      <c r="M15" s="39"/>
      <c r="N15" s="51"/>
      <c r="O15" s="39"/>
      <c r="P15" s="38"/>
      <c r="Q15" s="38"/>
      <c r="R15" s="39"/>
      <c r="S15" s="39"/>
      <c r="T15" s="39"/>
      <c r="U15" s="39"/>
      <c r="V15" s="39"/>
      <c r="W15" s="38"/>
      <c r="X15" s="38"/>
      <c r="Y15" s="51"/>
      <c r="Z15" s="39"/>
      <c r="AA15" s="39"/>
      <c r="AB15" s="39"/>
      <c r="AC15" s="39"/>
      <c r="AD15" s="41"/>
      <c r="AE15" s="41"/>
      <c r="AF15" s="51"/>
      <c r="AG15" s="51"/>
      <c r="AH15" s="27" t="s">
        <v>174</v>
      </c>
      <c r="AI15" s="42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>
        <v>0</v>
      </c>
      <c r="AL15" s="6"/>
    </row>
    <row r="16" spans="1:38" ht="19.149999999999999" customHeight="1">
      <c r="A16" s="27" t="s">
        <v>175</v>
      </c>
      <c r="B16" s="51" t="s">
        <v>172</v>
      </c>
      <c r="C16" s="38"/>
      <c r="D16" s="51"/>
      <c r="E16" s="39"/>
      <c r="F16" s="39"/>
      <c r="G16" s="39"/>
      <c r="H16" s="39"/>
      <c r="I16" s="38"/>
      <c r="J16" s="38"/>
      <c r="K16" s="39"/>
      <c r="L16" s="39"/>
      <c r="M16" s="40" t="s">
        <v>153</v>
      </c>
      <c r="N16" s="51"/>
      <c r="O16" s="39"/>
      <c r="P16" s="38"/>
      <c r="Q16" s="38"/>
      <c r="R16" s="39"/>
      <c r="S16" s="39"/>
      <c r="T16" s="39"/>
      <c r="U16" s="39"/>
      <c r="V16" s="39"/>
      <c r="W16" s="38"/>
      <c r="X16" s="38"/>
      <c r="Y16" s="51"/>
      <c r="Z16" s="39"/>
      <c r="AA16" s="39"/>
      <c r="AB16" s="39"/>
      <c r="AC16" s="39"/>
      <c r="AD16" s="41"/>
      <c r="AE16" s="41"/>
      <c r="AF16" s="51"/>
      <c r="AG16" s="51"/>
      <c r="AH16" s="27" t="s">
        <v>175</v>
      </c>
      <c r="AI16" s="42">
        <f t="shared" si="5"/>
        <v>141.55000000000001</v>
      </c>
      <c r="AJ16" s="7">
        <v>1</v>
      </c>
      <c r="AK16" s="42">
        <v>4.5</v>
      </c>
      <c r="AL16" s="6"/>
    </row>
    <row r="17" spans="1:38" ht="19.149999999999999" customHeight="1">
      <c r="A17" s="27" t="s">
        <v>113</v>
      </c>
      <c r="B17" s="51" t="s">
        <v>172</v>
      </c>
      <c r="C17" s="38"/>
      <c r="D17" s="51"/>
      <c r="E17" s="39"/>
      <c r="F17" s="39"/>
      <c r="G17" s="39"/>
      <c r="H17" s="40" t="s">
        <v>153</v>
      </c>
      <c r="I17" s="38"/>
      <c r="J17" s="38"/>
      <c r="K17" s="40" t="s">
        <v>176</v>
      </c>
      <c r="L17" s="39"/>
      <c r="M17" s="39"/>
      <c r="N17" s="51"/>
      <c r="O17" s="39"/>
      <c r="P17" s="38"/>
      <c r="Q17" s="38"/>
      <c r="R17" s="40" t="s">
        <v>153</v>
      </c>
      <c r="S17" s="39"/>
      <c r="T17" s="39"/>
      <c r="U17" s="40" t="s">
        <v>153</v>
      </c>
      <c r="V17" s="39"/>
      <c r="W17" s="38"/>
      <c r="X17" s="38"/>
      <c r="Y17" s="51"/>
      <c r="Z17" s="39"/>
      <c r="AA17" s="39"/>
      <c r="AB17" s="39"/>
      <c r="AC17" s="39"/>
      <c r="AD17" s="41"/>
      <c r="AE17" s="41"/>
      <c r="AF17" s="40" t="s">
        <v>177</v>
      </c>
      <c r="AG17" s="51"/>
      <c r="AH17" s="27" t="s">
        <v>113</v>
      </c>
      <c r="AI17" s="42">
        <f t="shared" si="5"/>
        <v>119</v>
      </c>
      <c r="AJ17" s="7">
        <v>1</v>
      </c>
      <c r="AK17" s="42">
        <v>0</v>
      </c>
      <c r="AL17" s="6"/>
    </row>
    <row r="18" spans="1:38" ht="19.149999999999999" customHeight="1">
      <c r="A18" s="27"/>
      <c r="B18" s="51"/>
      <c r="C18" s="38"/>
      <c r="D18" s="51"/>
      <c r="E18" s="39"/>
      <c r="F18" s="39"/>
      <c r="G18" s="39"/>
      <c r="H18" s="39"/>
      <c r="I18" s="38"/>
      <c r="J18" s="38"/>
      <c r="K18" s="39"/>
      <c r="L18" s="39"/>
      <c r="M18" s="39"/>
      <c r="N18" s="51"/>
      <c r="O18" s="39"/>
      <c r="P18" s="38"/>
      <c r="Q18" s="38"/>
      <c r="R18" s="39"/>
      <c r="S18" s="39"/>
      <c r="T18" s="39"/>
      <c r="U18" s="39"/>
      <c r="V18" s="39"/>
      <c r="W18" s="38"/>
      <c r="X18" s="38"/>
      <c r="Y18" s="51"/>
      <c r="Z18" s="39"/>
      <c r="AA18" s="39"/>
      <c r="AB18" s="39"/>
      <c r="AC18" s="39"/>
      <c r="AD18" s="41"/>
      <c r="AE18" s="41"/>
      <c r="AF18" s="51"/>
      <c r="AG18" s="51"/>
      <c r="AH18" s="27"/>
      <c r="AI18" s="42"/>
      <c r="AJ18" s="7"/>
      <c r="AK18" s="42"/>
      <c r="AL18" s="6"/>
    </row>
    <row r="19" spans="1:38" ht="19.149999999999999" customHeight="1">
      <c r="A19" s="27" t="s">
        <v>178</v>
      </c>
      <c r="B19" s="51" t="s">
        <v>179</v>
      </c>
      <c r="C19" s="38"/>
      <c r="D19" s="51"/>
      <c r="E19" s="39"/>
      <c r="F19" s="39"/>
      <c r="G19" s="39"/>
      <c r="H19" s="39"/>
      <c r="I19" s="38"/>
      <c r="J19" s="38"/>
      <c r="K19" s="39"/>
      <c r="L19" s="40" t="s">
        <v>170</v>
      </c>
      <c r="M19" s="39"/>
      <c r="N19" s="51"/>
      <c r="O19" s="39"/>
      <c r="P19" s="38"/>
      <c r="Q19" s="38"/>
      <c r="R19" s="39"/>
      <c r="S19" s="39"/>
      <c r="T19" s="39"/>
      <c r="U19" s="39"/>
      <c r="V19" s="39"/>
      <c r="W19" s="38"/>
      <c r="X19" s="38"/>
      <c r="Y19" s="51"/>
      <c r="Z19" s="39"/>
      <c r="AA19" s="39"/>
      <c r="AB19" s="39"/>
      <c r="AC19" s="40" t="s">
        <v>153</v>
      </c>
      <c r="AD19" s="41"/>
      <c r="AE19" s="41"/>
      <c r="AF19" s="51"/>
      <c r="AG19" s="51"/>
      <c r="AH19" s="27" t="s">
        <v>178</v>
      </c>
      <c r="AI19" s="42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2">
        <v>7.25</v>
      </c>
      <c r="AL19" s="6"/>
    </row>
    <row r="20" spans="1:38" ht="19.149999999999999" customHeight="1">
      <c r="A20" s="27" t="s">
        <v>121</v>
      </c>
      <c r="B20" s="51" t="s">
        <v>179</v>
      </c>
      <c r="C20" s="38"/>
      <c r="D20" s="51"/>
      <c r="E20" s="39"/>
      <c r="F20" s="39"/>
      <c r="G20" s="39"/>
      <c r="H20" s="39"/>
      <c r="I20" s="38"/>
      <c r="J20" s="38"/>
      <c r="K20" s="39"/>
      <c r="L20" s="39"/>
      <c r="M20" s="40" t="s">
        <v>153</v>
      </c>
      <c r="N20" s="51"/>
      <c r="O20" s="39"/>
      <c r="P20" s="38"/>
      <c r="Q20" s="38"/>
      <c r="R20" s="39"/>
      <c r="S20" s="39"/>
      <c r="T20" s="39"/>
      <c r="U20" s="39"/>
      <c r="V20" s="40" t="s">
        <v>153</v>
      </c>
      <c r="W20" s="38"/>
      <c r="X20" s="38"/>
      <c r="Y20" s="51"/>
      <c r="Z20" s="39"/>
      <c r="AA20" s="39"/>
      <c r="AB20" s="39"/>
      <c r="AC20" s="39"/>
      <c r="AD20" s="41"/>
      <c r="AE20" s="41"/>
      <c r="AF20" s="51"/>
      <c r="AG20" s="51"/>
      <c r="AH20" s="27" t="s">
        <v>121</v>
      </c>
      <c r="AI20" s="42">
        <f t="shared" si="6"/>
        <v>134.1</v>
      </c>
      <c r="AJ20" s="7">
        <v>2</v>
      </c>
      <c r="AK20" s="42">
        <v>17</v>
      </c>
      <c r="AL20" s="6"/>
    </row>
    <row r="21" spans="1:38" ht="19.149999999999999" customHeight="1">
      <c r="A21" s="27" t="s">
        <v>180</v>
      </c>
      <c r="B21" s="51" t="s">
        <v>179</v>
      </c>
      <c r="C21" s="38"/>
      <c r="D21" s="51"/>
      <c r="E21" s="39"/>
      <c r="F21" s="39"/>
      <c r="G21" s="39"/>
      <c r="H21" s="39"/>
      <c r="I21" s="38"/>
      <c r="J21" s="38"/>
      <c r="K21" s="39"/>
      <c r="L21" s="39"/>
      <c r="M21" s="39"/>
      <c r="N21" s="51"/>
      <c r="O21" s="39"/>
      <c r="P21" s="38"/>
      <c r="Q21" s="38"/>
      <c r="R21" s="39"/>
      <c r="S21" s="39"/>
      <c r="T21" s="39"/>
      <c r="U21" s="39"/>
      <c r="V21" s="40" t="s">
        <v>153</v>
      </c>
      <c r="W21" s="38"/>
      <c r="X21" s="38"/>
      <c r="Y21" s="51"/>
      <c r="Z21" s="39"/>
      <c r="AA21" s="39"/>
      <c r="AB21" s="39"/>
      <c r="AC21" s="39"/>
      <c r="AD21" s="41"/>
      <c r="AE21" s="41"/>
      <c r="AF21" s="51"/>
      <c r="AG21" s="51"/>
      <c r="AH21" s="27" t="s">
        <v>122</v>
      </c>
      <c r="AI21" s="42">
        <f t="shared" si="6"/>
        <v>141.55000000000001</v>
      </c>
      <c r="AJ21" s="7">
        <v>2</v>
      </c>
      <c r="AK21" s="42">
        <v>3.5</v>
      </c>
      <c r="AL21" s="6"/>
    </row>
    <row r="22" spans="1:38" ht="19.149999999999999" customHeight="1">
      <c r="A22" s="27" t="s">
        <v>123</v>
      </c>
      <c r="B22" s="51" t="s">
        <v>179</v>
      </c>
      <c r="C22" s="38"/>
      <c r="D22" s="51"/>
      <c r="E22" s="39"/>
      <c r="F22" s="39"/>
      <c r="G22" s="39"/>
      <c r="H22" s="39"/>
      <c r="I22" s="38"/>
      <c r="J22" s="38"/>
      <c r="K22" s="39"/>
      <c r="L22" s="39"/>
      <c r="M22" s="39"/>
      <c r="N22" s="51"/>
      <c r="O22" s="39"/>
      <c r="P22" s="38"/>
      <c r="Q22" s="38"/>
      <c r="R22" s="39"/>
      <c r="S22" s="39"/>
      <c r="T22" s="39"/>
      <c r="U22" s="39"/>
      <c r="V22" s="40" t="s">
        <v>153</v>
      </c>
      <c r="W22" s="38"/>
      <c r="X22" s="38"/>
      <c r="Y22" s="51"/>
      <c r="Z22" s="39"/>
      <c r="AA22" s="39"/>
      <c r="AB22" s="39"/>
      <c r="AC22" s="39"/>
      <c r="AD22" s="41"/>
      <c r="AE22" s="41"/>
      <c r="AF22" s="51"/>
      <c r="AG22" s="51"/>
      <c r="AH22" s="27" t="s">
        <v>123</v>
      </c>
      <c r="AI22" s="42">
        <f t="shared" si="6"/>
        <v>141.55000000000001</v>
      </c>
      <c r="AJ22" s="7">
        <v>2</v>
      </c>
      <c r="AK22" s="42">
        <v>4.25</v>
      </c>
      <c r="AL22" s="6"/>
    </row>
    <row r="23" spans="1:38" ht="19.149999999999999" customHeight="1">
      <c r="A23" s="27" t="s">
        <v>181</v>
      </c>
      <c r="B23" s="51" t="s">
        <v>179</v>
      </c>
      <c r="C23" s="38"/>
      <c r="D23" s="51"/>
      <c r="E23" s="39"/>
      <c r="F23" s="39"/>
      <c r="G23" s="39"/>
      <c r="H23" s="39"/>
      <c r="I23" s="38"/>
      <c r="J23" s="38"/>
      <c r="K23" s="39"/>
      <c r="L23" s="39"/>
      <c r="M23" s="39"/>
      <c r="N23" s="51"/>
      <c r="O23" s="39"/>
      <c r="P23" s="38"/>
      <c r="Q23" s="38"/>
      <c r="R23" s="39"/>
      <c r="S23" s="39"/>
      <c r="T23" s="39"/>
      <c r="U23" s="39"/>
      <c r="V23" s="40" t="s">
        <v>153</v>
      </c>
      <c r="W23" s="38"/>
      <c r="X23" s="38"/>
      <c r="Y23" s="51"/>
      <c r="Z23" s="40" t="s">
        <v>170</v>
      </c>
      <c r="AA23" s="39"/>
      <c r="AB23" s="39"/>
      <c r="AC23" s="39"/>
      <c r="AD23" s="41"/>
      <c r="AE23" s="41"/>
      <c r="AF23" s="51"/>
      <c r="AG23" s="51"/>
      <c r="AH23" s="27" t="s">
        <v>181</v>
      </c>
      <c r="AI23" s="42">
        <f t="shared" si="6"/>
        <v>137.4</v>
      </c>
      <c r="AJ23" s="7">
        <v>2</v>
      </c>
      <c r="AK23" s="42">
        <v>3.5</v>
      </c>
      <c r="AL23" s="6"/>
    </row>
    <row r="24" spans="1:38" ht="19.149999999999999" customHeight="1">
      <c r="A24" s="7"/>
      <c r="B24" s="7"/>
      <c r="C24" s="38"/>
      <c r="D24" s="51"/>
      <c r="E24" s="39"/>
      <c r="F24" s="39"/>
      <c r="G24" s="39"/>
      <c r="H24" s="39"/>
      <c r="I24" s="38"/>
      <c r="J24" s="38"/>
      <c r="K24" s="39"/>
      <c r="L24" s="39"/>
      <c r="M24" s="39"/>
      <c r="N24" s="51"/>
      <c r="O24" s="39"/>
      <c r="P24" s="38"/>
      <c r="Q24" s="38"/>
      <c r="R24" s="39"/>
      <c r="S24" s="39"/>
      <c r="T24" s="39"/>
      <c r="U24" s="39"/>
      <c r="V24" s="39"/>
      <c r="W24" s="38"/>
      <c r="X24" s="38"/>
      <c r="Y24" s="51"/>
      <c r="Z24" s="39"/>
      <c r="AA24" s="39"/>
      <c r="AB24" s="39"/>
      <c r="AC24" s="39"/>
      <c r="AD24" s="41"/>
      <c r="AE24" s="41"/>
      <c r="AF24" s="51"/>
      <c r="AG24" s="51"/>
      <c r="AH24" s="7"/>
      <c r="AI24" s="7"/>
      <c r="AJ24" s="7"/>
      <c r="AK24" s="7"/>
      <c r="AL24" s="6"/>
    </row>
    <row r="25" spans="1:38" ht="19.149999999999999" customHeight="1">
      <c r="A25" s="27"/>
      <c r="B25" s="51"/>
      <c r="C25" s="38"/>
      <c r="D25" s="51"/>
      <c r="E25" s="39"/>
      <c r="F25" s="39"/>
      <c r="G25" s="39"/>
      <c r="H25" s="39"/>
      <c r="I25" s="38"/>
      <c r="J25" s="38"/>
      <c r="K25" s="39"/>
      <c r="L25" s="39"/>
      <c r="M25" s="39"/>
      <c r="N25" s="51"/>
      <c r="O25" s="39"/>
      <c r="P25" s="38"/>
      <c r="Q25" s="38"/>
      <c r="R25" s="39"/>
      <c r="S25" s="39"/>
      <c r="T25" s="39"/>
      <c r="U25" s="39"/>
      <c r="V25" s="39"/>
      <c r="W25" s="38"/>
      <c r="X25" s="38"/>
      <c r="Y25" s="51"/>
      <c r="Z25" s="39"/>
      <c r="AA25" s="39"/>
      <c r="AB25" s="39"/>
      <c r="AC25" s="39"/>
      <c r="AD25" s="41"/>
      <c r="AE25" s="41"/>
      <c r="AF25" s="51"/>
      <c r="AG25" s="51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182</v>
      </c>
      <c r="B26" s="51" t="s">
        <v>156</v>
      </c>
      <c r="C26" s="38"/>
      <c r="D26" s="51"/>
      <c r="E26" s="39"/>
      <c r="F26" s="39"/>
      <c r="G26" s="39"/>
      <c r="H26" s="39"/>
      <c r="I26" s="38"/>
      <c r="J26" s="38"/>
      <c r="K26" s="39"/>
      <c r="L26" s="39"/>
      <c r="M26" s="39"/>
      <c r="N26" s="51"/>
      <c r="O26" s="39"/>
      <c r="P26" s="38"/>
      <c r="Q26" s="38"/>
      <c r="R26" s="39"/>
      <c r="S26" s="39"/>
      <c r="T26" s="39"/>
      <c r="U26" s="39"/>
      <c r="V26" s="39"/>
      <c r="W26" s="38"/>
      <c r="X26" s="38"/>
      <c r="Y26" s="51"/>
      <c r="Z26" s="39"/>
      <c r="AA26" s="39"/>
      <c r="AB26" s="39"/>
      <c r="AC26" s="39"/>
      <c r="AD26" s="41"/>
      <c r="AE26" s="41"/>
      <c r="AF26" s="51"/>
      <c r="AG26" s="51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7"/>
      <c r="AE27" s="6"/>
      <c r="AF27" s="6"/>
      <c r="AG27" s="6"/>
      <c r="AH27" s="43" t="s">
        <v>183</v>
      </c>
      <c r="AI27" s="7">
        <f>SUM(AI28:AI30)</f>
        <v>2119.5500000000002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J24" sqref="J24"/>
    </sheetView>
  </sheetViews>
  <sheetFormatPr defaultRowHeight="19.149999999999999" customHeight="1"/>
  <cols>
    <col min="1" max="1" width="13.25" bestFit="1" customWidth="1"/>
    <col min="2" max="2" width="7.375" bestFit="1" customWidth="1"/>
    <col min="3" max="3" width="3.625" customWidth="1"/>
    <col min="4" max="4" width="16.5" bestFit="1" customWidth="1"/>
    <col min="5" max="7" width="3.625" customWidth="1"/>
    <col min="8" max="8" width="5.5" bestFit="1" customWidth="1"/>
    <col min="9" max="10" width="3.625" customWidth="1"/>
    <col min="11" max="11" width="5.5" bestFit="1" customWidth="1"/>
    <col min="12" max="13" width="4" bestFit="1" customWidth="1"/>
    <col min="14" max="14" width="6.5" bestFit="1" customWidth="1"/>
    <col min="15" max="15" width="4" bestFit="1" customWidth="1"/>
    <col min="16" max="17" width="5.5" bestFit="1" customWidth="1"/>
    <col min="18" max="19" width="4" bestFit="1" customWidth="1"/>
    <col min="20" max="20" width="5.25" bestFit="1" customWidth="1"/>
    <col min="21" max="21" width="4" bestFit="1" customWidth="1"/>
    <col min="22" max="22" width="6.5" bestFit="1" customWidth="1"/>
    <col min="23" max="23" width="4" bestFit="1" customWidth="1"/>
    <col min="24" max="24" width="9" bestFit="1" customWidth="1"/>
    <col min="25" max="27" width="4" bestFit="1" customWidth="1"/>
    <col min="28" max="28" width="24.25" bestFit="1" customWidth="1"/>
    <col min="29" max="32" width="4" bestFit="1" customWidth="1"/>
    <col min="33" max="33" width="3.625" customWidth="1"/>
    <col min="34" max="34" width="13.25" bestFit="1" customWidth="1"/>
    <col min="35" max="35" width="13" bestFit="1" customWidth="1"/>
    <col min="36" max="36" width="11" bestFit="1" customWidth="1"/>
    <col min="37" max="37" width="8.125" bestFit="1" customWidth="1"/>
    <col min="38" max="38" width="3.625" customWidth="1"/>
  </cols>
  <sheetData>
    <row r="1" spans="1:38" ht="19.149999999999999" customHeight="1" thickBot="1">
      <c r="A1" s="49">
        <v>46113</v>
      </c>
      <c r="AB1" s="57" t="s">
        <v>151</v>
      </c>
    </row>
    <row r="2" spans="1:38" ht="19.149999999999999" customHeight="1" thickBot="1">
      <c r="A2" s="58">
        <f>YEAR(A1)</f>
        <v>2026</v>
      </c>
      <c r="B2" s="59">
        <f>MONTH(A1)</f>
        <v>4</v>
      </c>
      <c r="D2" s="60" t="s">
        <v>152</v>
      </c>
      <c r="J2" s="57" t="s">
        <v>153</v>
      </c>
      <c r="K2" s="57" t="s">
        <v>154</v>
      </c>
      <c r="L2" s="61"/>
      <c r="N2" s="57" t="s">
        <v>155</v>
      </c>
      <c r="O2" s="57"/>
      <c r="P2" s="57" t="s">
        <v>156</v>
      </c>
      <c r="Q2" s="57"/>
      <c r="S2" s="57" t="s">
        <v>157</v>
      </c>
      <c r="T2" t="s">
        <v>158</v>
      </c>
      <c r="V2" s="62" t="s">
        <v>159</v>
      </c>
      <c r="W2" s="63"/>
      <c r="X2" s="64" t="s">
        <v>160</v>
      </c>
      <c r="Y2" s="63"/>
      <c r="Z2" s="65"/>
      <c r="AB2" s="57" t="s">
        <v>161</v>
      </c>
      <c r="AI2" s="53" t="s">
        <v>162</v>
      </c>
    </row>
    <row r="3" spans="1:38" ht="9.75" customHeight="1">
      <c r="AI3" s="53"/>
    </row>
    <row r="4" spans="1:38" ht="19.149999999999999" customHeight="1">
      <c r="A4" s="66"/>
      <c r="B4" s="66"/>
      <c r="C4" s="92">
        <f>DATEVALUE(A2&amp;"/"&amp;B2&amp;"/1")</f>
        <v>46113</v>
      </c>
      <c r="D4" s="92">
        <f>C4+1</f>
        <v>46114</v>
      </c>
      <c r="E4" s="92">
        <f t="shared" ref="E4:T5" si="0">D4+1</f>
        <v>46115</v>
      </c>
      <c r="F4" s="93">
        <f t="shared" si="0"/>
        <v>46116</v>
      </c>
      <c r="G4" s="93">
        <f t="shared" si="0"/>
        <v>46117</v>
      </c>
      <c r="H4" s="92">
        <f t="shared" si="0"/>
        <v>46118</v>
      </c>
      <c r="I4" s="92">
        <f t="shared" si="0"/>
        <v>46119</v>
      </c>
      <c r="J4" s="92">
        <f t="shared" si="0"/>
        <v>46120</v>
      </c>
      <c r="K4" s="92">
        <f t="shared" si="0"/>
        <v>46121</v>
      </c>
      <c r="L4" s="92">
        <f t="shared" si="0"/>
        <v>46122</v>
      </c>
      <c r="M4" s="93">
        <f t="shared" si="0"/>
        <v>46123</v>
      </c>
      <c r="N4" s="93">
        <f t="shared" si="0"/>
        <v>46124</v>
      </c>
      <c r="O4" s="92">
        <f t="shared" si="0"/>
        <v>46125</v>
      </c>
      <c r="P4" s="92">
        <f t="shared" si="0"/>
        <v>46126</v>
      </c>
      <c r="Q4" s="92">
        <f t="shared" si="0"/>
        <v>46127</v>
      </c>
      <c r="R4" s="92">
        <f t="shared" si="0"/>
        <v>46128</v>
      </c>
      <c r="S4" s="92">
        <f t="shared" si="0"/>
        <v>46129</v>
      </c>
      <c r="T4" s="93">
        <f t="shared" si="0"/>
        <v>46130</v>
      </c>
      <c r="U4" s="93">
        <f t="shared" ref="U4:AF5" si="1">T4+1</f>
        <v>46131</v>
      </c>
      <c r="V4" s="92">
        <f t="shared" si="1"/>
        <v>46132</v>
      </c>
      <c r="W4" s="92">
        <f t="shared" si="1"/>
        <v>46133</v>
      </c>
      <c r="X4" s="92">
        <f t="shared" si="1"/>
        <v>46134</v>
      </c>
      <c r="Y4" s="92">
        <f t="shared" si="1"/>
        <v>46135</v>
      </c>
      <c r="Z4" s="92">
        <f t="shared" si="1"/>
        <v>46136</v>
      </c>
      <c r="AA4" s="93">
        <f t="shared" si="1"/>
        <v>46137</v>
      </c>
      <c r="AB4" s="93">
        <f t="shared" si="1"/>
        <v>46138</v>
      </c>
      <c r="AC4" s="92">
        <f t="shared" si="1"/>
        <v>46139</v>
      </c>
      <c r="AD4" s="92">
        <f t="shared" si="1"/>
        <v>46140</v>
      </c>
      <c r="AE4" s="92">
        <f t="shared" si="1"/>
        <v>46141</v>
      </c>
      <c r="AF4" s="92">
        <f t="shared" si="1"/>
        <v>46142</v>
      </c>
      <c r="AG4" s="92"/>
      <c r="AH4" s="67"/>
      <c r="AI4" s="68">
        <v>21</v>
      </c>
      <c r="AL4" s="67"/>
    </row>
    <row r="5" spans="1:38" ht="19.149999999999999" customHeight="1">
      <c r="A5" s="66"/>
      <c r="B5" s="94" t="s">
        <v>163</v>
      </c>
      <c r="C5" s="95">
        <f>C4</f>
        <v>46113</v>
      </c>
      <c r="D5" s="95">
        <f>C5+1</f>
        <v>46114</v>
      </c>
      <c r="E5" s="95">
        <f t="shared" si="0"/>
        <v>46115</v>
      </c>
      <c r="F5" s="96">
        <f t="shared" si="0"/>
        <v>46116</v>
      </c>
      <c r="G5" s="96">
        <f t="shared" si="0"/>
        <v>46117</v>
      </c>
      <c r="H5" s="95">
        <f t="shared" si="0"/>
        <v>46118</v>
      </c>
      <c r="I5" s="95">
        <f t="shared" si="0"/>
        <v>46119</v>
      </c>
      <c r="J5" s="95">
        <f t="shared" si="0"/>
        <v>46120</v>
      </c>
      <c r="K5" s="95">
        <f t="shared" si="0"/>
        <v>46121</v>
      </c>
      <c r="L5" s="95">
        <f t="shared" si="0"/>
        <v>46122</v>
      </c>
      <c r="M5" s="96">
        <f t="shared" si="0"/>
        <v>46123</v>
      </c>
      <c r="N5" s="96">
        <f t="shared" si="0"/>
        <v>46124</v>
      </c>
      <c r="O5" s="95">
        <f t="shared" si="0"/>
        <v>46125</v>
      </c>
      <c r="P5" s="95">
        <f t="shared" si="0"/>
        <v>46126</v>
      </c>
      <c r="Q5" s="95">
        <f t="shared" si="0"/>
        <v>46127</v>
      </c>
      <c r="R5" s="95">
        <f t="shared" si="0"/>
        <v>46128</v>
      </c>
      <c r="S5" s="95">
        <f t="shared" si="0"/>
        <v>46129</v>
      </c>
      <c r="T5" s="96">
        <f t="shared" si="0"/>
        <v>46130</v>
      </c>
      <c r="U5" s="96">
        <f t="shared" si="1"/>
        <v>46131</v>
      </c>
      <c r="V5" s="95">
        <f t="shared" si="1"/>
        <v>46132</v>
      </c>
      <c r="W5" s="95">
        <f t="shared" si="1"/>
        <v>46133</v>
      </c>
      <c r="X5" s="95">
        <f t="shared" si="1"/>
        <v>46134</v>
      </c>
      <c r="Y5" s="95">
        <f t="shared" si="1"/>
        <v>46135</v>
      </c>
      <c r="Z5" s="95">
        <f t="shared" si="1"/>
        <v>46136</v>
      </c>
      <c r="AA5" s="96">
        <f t="shared" si="1"/>
        <v>46137</v>
      </c>
      <c r="AB5" s="96">
        <f t="shared" si="1"/>
        <v>46138</v>
      </c>
      <c r="AC5" s="95">
        <f t="shared" si="1"/>
        <v>46139</v>
      </c>
      <c r="AD5" s="95">
        <f t="shared" si="1"/>
        <v>46140</v>
      </c>
      <c r="AE5" s="95">
        <f t="shared" si="1"/>
        <v>46141</v>
      </c>
      <c r="AF5" s="95">
        <f t="shared" si="1"/>
        <v>46142</v>
      </c>
      <c r="AG5" s="95"/>
      <c r="AH5" s="69"/>
      <c r="AI5" s="70" t="s">
        <v>164</v>
      </c>
      <c r="AJ5" s="53" t="s">
        <v>165</v>
      </c>
      <c r="AK5" s="53" t="s">
        <v>166</v>
      </c>
      <c r="AL5" s="69"/>
    </row>
    <row r="6" spans="1:38" ht="19.149999999999999" customHeight="1">
      <c r="A6" s="66" t="s">
        <v>167</v>
      </c>
      <c r="B6" s="94"/>
      <c r="C6" s="94"/>
      <c r="D6" s="94"/>
      <c r="E6" s="94"/>
      <c r="F6" s="97"/>
      <c r="G6" s="97"/>
      <c r="H6" s="94"/>
      <c r="I6" s="94"/>
      <c r="J6" s="94"/>
      <c r="K6" s="94"/>
      <c r="L6" s="94"/>
      <c r="M6" s="97"/>
      <c r="N6" s="97"/>
      <c r="O6" s="94"/>
      <c r="P6" s="94"/>
      <c r="Q6" s="94"/>
      <c r="R6" s="94"/>
      <c r="S6" s="94"/>
      <c r="T6" s="97"/>
      <c r="U6" s="97"/>
      <c r="V6" s="94"/>
      <c r="W6" s="94"/>
      <c r="X6" s="94"/>
      <c r="Y6" s="94"/>
      <c r="Z6" s="94"/>
      <c r="AA6" s="97"/>
      <c r="AB6" s="97"/>
      <c r="AC6" s="94"/>
      <c r="AD6" s="94"/>
      <c r="AE6" s="98"/>
      <c r="AF6" s="94"/>
      <c r="AG6" s="94"/>
      <c r="AH6" s="66" t="s">
        <v>167</v>
      </c>
      <c r="AI6" s="71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3">
        <v>0</v>
      </c>
      <c r="AK6" s="53"/>
    </row>
    <row r="7" spans="1:38" ht="19.149999999999999" customHeight="1">
      <c r="A7" s="66"/>
      <c r="B7" s="94"/>
      <c r="C7" s="94"/>
      <c r="D7" s="94"/>
      <c r="E7" s="94"/>
      <c r="F7" s="97"/>
      <c r="G7" s="97"/>
      <c r="H7" s="94"/>
      <c r="I7" s="94"/>
      <c r="J7" s="94"/>
      <c r="K7" s="94"/>
      <c r="L7" s="94"/>
      <c r="M7" s="97"/>
      <c r="N7" s="97"/>
      <c r="O7" s="94"/>
      <c r="P7" s="94"/>
      <c r="Q7" s="94"/>
      <c r="R7" s="94"/>
      <c r="S7" s="94"/>
      <c r="T7" s="97"/>
      <c r="U7" s="97"/>
      <c r="V7" s="94"/>
      <c r="W7" s="94"/>
      <c r="X7" s="94"/>
      <c r="Y7" s="94"/>
      <c r="Z7" s="94"/>
      <c r="AA7" s="97"/>
      <c r="AB7" s="97"/>
      <c r="AC7" s="94"/>
      <c r="AD7" s="94"/>
      <c r="AE7" s="98"/>
      <c r="AF7" s="94"/>
      <c r="AG7" s="94"/>
      <c r="AH7" s="66"/>
      <c r="AI7" s="71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3"/>
      <c r="AK7" s="53"/>
    </row>
    <row r="8" spans="1:38" ht="19.149999999999999" customHeight="1">
      <c r="A8" s="66" t="s">
        <v>168</v>
      </c>
      <c r="B8" s="94"/>
      <c r="C8" s="94"/>
      <c r="D8" s="94"/>
      <c r="E8" s="94"/>
      <c r="F8" s="97"/>
      <c r="G8" s="97"/>
      <c r="H8" s="94"/>
      <c r="I8" s="94"/>
      <c r="J8" s="94"/>
      <c r="K8" s="94"/>
      <c r="L8" s="94"/>
      <c r="M8" s="97"/>
      <c r="N8" s="97"/>
      <c r="O8" s="94"/>
      <c r="P8" s="94"/>
      <c r="Q8" s="94"/>
      <c r="R8" s="94"/>
      <c r="S8" s="94"/>
      <c r="T8" s="97"/>
      <c r="U8" s="97"/>
      <c r="V8" s="94"/>
      <c r="W8" s="94"/>
      <c r="X8" s="94"/>
      <c r="Y8" s="94"/>
      <c r="Z8" s="94"/>
      <c r="AA8" s="97"/>
      <c r="AB8" s="97"/>
      <c r="AC8" s="94"/>
      <c r="AD8" s="94"/>
      <c r="AE8" s="99" t="s">
        <v>153</v>
      </c>
      <c r="AF8" s="94"/>
      <c r="AG8" s="94"/>
      <c r="AH8" s="66" t="s">
        <v>115</v>
      </c>
      <c r="AI8" s="71">
        <f t="shared" si="2"/>
        <v>149</v>
      </c>
      <c r="AJ8" s="53">
        <v>0</v>
      </c>
      <c r="AK8" s="71" t="e" vm="1">
        <v>#VALUE!</v>
      </c>
    </row>
    <row r="9" spans="1:38" ht="19.149999999999999" customHeight="1">
      <c r="A9" s="66" t="s">
        <v>116</v>
      </c>
      <c r="B9" s="94"/>
      <c r="C9" s="94"/>
      <c r="D9" s="94"/>
      <c r="E9" s="94"/>
      <c r="F9" s="97"/>
      <c r="G9" s="97"/>
      <c r="H9" s="94"/>
      <c r="I9" s="94"/>
      <c r="J9" s="94"/>
      <c r="K9" s="94"/>
      <c r="L9" s="94"/>
      <c r="M9" s="97"/>
      <c r="N9" s="97"/>
      <c r="O9" s="94"/>
      <c r="P9" s="94"/>
      <c r="Q9" s="94"/>
      <c r="R9" s="94"/>
      <c r="S9" s="94"/>
      <c r="T9" s="97"/>
      <c r="U9" s="97"/>
      <c r="V9" s="94"/>
      <c r="W9" s="94"/>
      <c r="X9" s="94"/>
      <c r="Y9" s="94"/>
      <c r="Z9" s="94"/>
      <c r="AA9" s="97"/>
      <c r="AB9" s="97"/>
      <c r="AC9" s="94"/>
      <c r="AD9" s="94"/>
      <c r="AE9" s="98"/>
      <c r="AF9" s="94"/>
      <c r="AG9" s="94"/>
      <c r="AH9" s="66" t="s">
        <v>118</v>
      </c>
      <c r="AI9" s="71">
        <f t="shared" si="2"/>
        <v>156.45000000000002</v>
      </c>
      <c r="AJ9" s="53">
        <v>0</v>
      </c>
      <c r="AK9" s="71" t="e" vm="1">
        <v>#VALUE!</v>
      </c>
    </row>
    <row r="10" spans="1:38" ht="19.149999999999999" customHeight="1">
      <c r="A10" s="66"/>
      <c r="B10" s="94"/>
      <c r="C10" s="94"/>
      <c r="D10" s="94"/>
      <c r="E10" s="94"/>
      <c r="F10" s="97"/>
      <c r="G10" s="97"/>
      <c r="H10" s="94"/>
      <c r="I10" s="94"/>
      <c r="J10" s="94"/>
      <c r="K10" s="94"/>
      <c r="L10" s="94"/>
      <c r="M10" s="97"/>
      <c r="N10" s="97"/>
      <c r="O10" s="94"/>
      <c r="P10" s="94"/>
      <c r="Q10" s="94"/>
      <c r="R10" s="94"/>
      <c r="S10" s="94"/>
      <c r="T10" s="97"/>
      <c r="U10" s="97"/>
      <c r="V10" s="94"/>
      <c r="W10" s="94"/>
      <c r="X10" s="94"/>
      <c r="Y10" s="94"/>
      <c r="Z10" s="94"/>
      <c r="AA10" s="97"/>
      <c r="AB10" s="97"/>
      <c r="AC10" s="94"/>
      <c r="AD10" s="94"/>
      <c r="AE10" s="98"/>
      <c r="AF10" s="94"/>
      <c r="AG10" s="94"/>
      <c r="AH10" s="66"/>
      <c r="AI10" s="71"/>
      <c r="AJ10" s="53"/>
      <c r="AK10" s="71"/>
    </row>
    <row r="11" spans="1:38" ht="19.149999999999999" customHeight="1">
      <c r="A11" s="66" t="s">
        <v>171</v>
      </c>
      <c r="B11" s="94" t="s">
        <v>172</v>
      </c>
      <c r="C11" s="99" t="s">
        <v>153</v>
      </c>
      <c r="D11" s="94"/>
      <c r="E11" s="94"/>
      <c r="F11" s="97"/>
      <c r="G11" s="97"/>
      <c r="H11" s="94"/>
      <c r="I11" s="94"/>
      <c r="J11" s="94"/>
      <c r="K11" s="94"/>
      <c r="L11" s="94"/>
      <c r="M11" s="97"/>
      <c r="N11" s="97"/>
      <c r="O11" s="94"/>
      <c r="P11" s="94"/>
      <c r="Q11" s="94"/>
      <c r="R11" s="94"/>
      <c r="S11" s="94"/>
      <c r="T11" s="97"/>
      <c r="U11" s="97"/>
      <c r="V11" s="94"/>
      <c r="W11" s="94"/>
      <c r="X11" s="94"/>
      <c r="Y11" s="94"/>
      <c r="Z11" s="94"/>
      <c r="AA11" s="97"/>
      <c r="AB11" s="97"/>
      <c r="AC11" s="94"/>
      <c r="AD11" s="94"/>
      <c r="AE11" s="98"/>
      <c r="AF11" s="94"/>
      <c r="AG11" s="94"/>
      <c r="AH11" s="66" t="s">
        <v>119</v>
      </c>
      <c r="AI11" s="71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53">
        <v>1</v>
      </c>
      <c r="AK11" s="71" t="e" vm="1">
        <v>#VALUE!</v>
      </c>
    </row>
    <row r="12" spans="1:38" ht="19.149999999999999" customHeight="1">
      <c r="A12" s="66" t="s">
        <v>108</v>
      </c>
      <c r="B12" s="94" t="s">
        <v>172</v>
      </c>
      <c r="C12" s="94"/>
      <c r="D12" s="94"/>
      <c r="E12" s="94"/>
      <c r="F12" s="97"/>
      <c r="G12" s="97"/>
      <c r="H12" s="94"/>
      <c r="I12" s="94"/>
      <c r="J12" s="94"/>
      <c r="K12" s="94"/>
      <c r="L12" s="94"/>
      <c r="M12" s="97"/>
      <c r="N12" s="97"/>
      <c r="O12" s="94"/>
      <c r="P12" s="94"/>
      <c r="Q12" s="94"/>
      <c r="R12" s="94"/>
      <c r="S12" s="94"/>
      <c r="T12" s="97"/>
      <c r="U12" s="97"/>
      <c r="V12" s="94"/>
      <c r="W12" s="94"/>
      <c r="X12" s="94"/>
      <c r="Y12" s="94"/>
      <c r="Z12" s="94"/>
      <c r="AA12" s="97"/>
      <c r="AB12" s="97"/>
      <c r="AC12" s="94"/>
      <c r="AD12" s="94"/>
      <c r="AE12" s="98"/>
      <c r="AF12" s="94"/>
      <c r="AG12" s="94"/>
      <c r="AH12" s="66" t="s">
        <v>108</v>
      </c>
      <c r="AI12" s="71">
        <f t="shared" si="3"/>
        <v>156.45000000000002</v>
      </c>
      <c r="AJ12" s="53">
        <v>1</v>
      </c>
      <c r="AK12" s="71" t="e" vm="1">
        <v>#VALUE!</v>
      </c>
    </row>
    <row r="13" spans="1:38" ht="19.149999999999999" customHeight="1">
      <c r="A13" s="66" t="s">
        <v>110</v>
      </c>
      <c r="B13" s="94" t="s">
        <v>172</v>
      </c>
      <c r="C13" s="94"/>
      <c r="D13" s="94"/>
      <c r="E13" s="94"/>
      <c r="F13" s="97"/>
      <c r="G13" s="97"/>
      <c r="H13" s="99" t="s">
        <v>177</v>
      </c>
      <c r="I13" s="94"/>
      <c r="J13" s="94"/>
      <c r="K13" s="94"/>
      <c r="L13" s="94"/>
      <c r="M13" s="97"/>
      <c r="N13" s="97"/>
      <c r="O13" s="94"/>
      <c r="P13" s="94"/>
      <c r="Q13" s="99" t="s">
        <v>177</v>
      </c>
      <c r="R13" s="94"/>
      <c r="S13" s="94"/>
      <c r="T13" s="97"/>
      <c r="U13" s="97"/>
      <c r="V13" s="94"/>
      <c r="W13" s="94"/>
      <c r="X13" s="94"/>
      <c r="Y13" s="94"/>
      <c r="Z13" s="94"/>
      <c r="AA13" s="97"/>
      <c r="AB13" s="97"/>
      <c r="AC13" s="94"/>
      <c r="AD13" s="94"/>
      <c r="AE13" s="98"/>
      <c r="AF13" s="94"/>
      <c r="AG13" s="94"/>
      <c r="AH13" s="66" t="s">
        <v>110</v>
      </c>
      <c r="AI13" s="71">
        <f t="shared" si="3"/>
        <v>149.45000000000002</v>
      </c>
      <c r="AJ13" s="53">
        <v>1</v>
      </c>
      <c r="AK13" s="71" t="e" vm="1">
        <v>#VALUE!</v>
      </c>
    </row>
    <row r="14" spans="1:38" ht="19.149999999999999" customHeight="1">
      <c r="A14" s="66"/>
      <c r="B14" s="94"/>
      <c r="C14" s="94"/>
      <c r="D14" s="94"/>
      <c r="E14" s="94"/>
      <c r="F14" s="97"/>
      <c r="G14" s="97"/>
      <c r="H14" s="94"/>
      <c r="I14" s="94"/>
      <c r="J14" s="94"/>
      <c r="K14" s="94"/>
      <c r="L14" s="94"/>
      <c r="M14" s="97"/>
      <c r="N14" s="97"/>
      <c r="O14" s="94"/>
      <c r="P14" s="94"/>
      <c r="Q14" s="94"/>
      <c r="R14" s="94"/>
      <c r="S14" s="94"/>
      <c r="T14" s="97"/>
      <c r="U14" s="97"/>
      <c r="V14" s="94"/>
      <c r="W14" s="94"/>
      <c r="X14" s="94"/>
      <c r="Y14" s="94"/>
      <c r="Z14" s="94"/>
      <c r="AA14" s="97"/>
      <c r="AB14" s="97"/>
      <c r="AC14" s="94"/>
      <c r="AD14" s="94"/>
      <c r="AE14" s="98"/>
      <c r="AF14" s="94"/>
      <c r="AG14" s="94"/>
      <c r="AH14" s="66"/>
      <c r="AI14" s="71"/>
      <c r="AJ14" s="53"/>
      <c r="AK14" s="71" t="e" vm="1">
        <v>#VALUE!</v>
      </c>
    </row>
    <row r="15" spans="1:38" ht="19.149999999999999" customHeight="1">
      <c r="A15" s="66" t="s">
        <v>174</v>
      </c>
      <c r="B15" s="94" t="s">
        <v>172</v>
      </c>
      <c r="C15" s="94"/>
      <c r="D15" s="94"/>
      <c r="E15" s="94"/>
      <c r="F15" s="97"/>
      <c r="G15" s="97"/>
      <c r="H15" s="94"/>
      <c r="I15" s="94"/>
      <c r="J15" s="99" t="s">
        <v>153</v>
      </c>
      <c r="K15" s="94"/>
      <c r="L15" s="94"/>
      <c r="M15" s="97"/>
      <c r="N15" s="97"/>
      <c r="O15" s="94"/>
      <c r="P15" s="94"/>
      <c r="Q15" s="94"/>
      <c r="R15" s="94"/>
      <c r="S15" s="94"/>
      <c r="T15" s="97"/>
      <c r="U15" s="97"/>
      <c r="V15" s="94"/>
      <c r="W15" s="94"/>
      <c r="X15" s="94"/>
      <c r="Y15" s="94"/>
      <c r="Z15" s="94"/>
      <c r="AA15" s="97"/>
      <c r="AB15" s="97"/>
      <c r="AC15" s="94"/>
      <c r="AD15" s="94"/>
      <c r="AE15" s="98"/>
      <c r="AF15" s="94"/>
      <c r="AG15" s="94"/>
      <c r="AH15" s="66" t="s">
        <v>174</v>
      </c>
      <c r="AI15" s="71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53">
        <v>1</v>
      </c>
      <c r="AK15" s="71" t="e" vm="1">
        <v>#VALUE!</v>
      </c>
    </row>
    <row r="16" spans="1:38" ht="19.149999999999999" customHeight="1">
      <c r="A16" s="66" t="s">
        <v>175</v>
      </c>
      <c r="B16" s="94" t="s">
        <v>172</v>
      </c>
      <c r="C16" s="94"/>
      <c r="D16" s="94"/>
      <c r="E16" s="94"/>
      <c r="F16" s="97"/>
      <c r="G16" s="97"/>
      <c r="H16" s="94"/>
      <c r="I16" s="94"/>
      <c r="J16" s="94"/>
      <c r="K16" s="94"/>
      <c r="L16" s="94"/>
      <c r="M16" s="97"/>
      <c r="N16" s="97"/>
      <c r="O16" s="94"/>
      <c r="P16" s="94"/>
      <c r="Q16" s="94"/>
      <c r="R16" s="94"/>
      <c r="S16" s="94"/>
      <c r="T16" s="97"/>
      <c r="U16" s="97"/>
      <c r="V16" s="94"/>
      <c r="W16" s="94"/>
      <c r="X16" s="94"/>
      <c r="Y16" s="94"/>
      <c r="Z16" s="94"/>
      <c r="AA16" s="97"/>
      <c r="AB16" s="97"/>
      <c r="AC16" s="94"/>
      <c r="AD16" s="94"/>
      <c r="AE16" s="98"/>
      <c r="AF16" s="94"/>
      <c r="AG16" s="94"/>
      <c r="AH16" s="66" t="s">
        <v>175</v>
      </c>
      <c r="AI16" s="71">
        <f t="shared" si="4"/>
        <v>156.45000000000002</v>
      </c>
      <c r="AJ16" s="53">
        <v>1</v>
      </c>
      <c r="AK16" s="71" t="e" vm="1">
        <v>#VALUE!</v>
      </c>
    </row>
    <row r="17" spans="1:37" ht="19.149999999999999" customHeight="1">
      <c r="A17" s="66" t="s">
        <v>113</v>
      </c>
      <c r="B17" s="94" t="s">
        <v>172</v>
      </c>
      <c r="C17" s="94"/>
      <c r="D17" s="94"/>
      <c r="E17" s="94"/>
      <c r="F17" s="97"/>
      <c r="G17" s="97"/>
      <c r="H17" s="99" t="s">
        <v>170</v>
      </c>
      <c r="I17" s="94"/>
      <c r="J17" s="99" t="s">
        <v>153</v>
      </c>
      <c r="K17" s="94"/>
      <c r="L17" s="94"/>
      <c r="M17" s="97"/>
      <c r="N17" s="97"/>
      <c r="O17" s="94"/>
      <c r="P17" s="94"/>
      <c r="Q17" s="94"/>
      <c r="R17" s="94"/>
      <c r="S17" s="94"/>
      <c r="T17" s="97"/>
      <c r="U17" s="97"/>
      <c r="V17" s="94"/>
      <c r="W17" s="94"/>
      <c r="X17" s="94"/>
      <c r="Y17" s="94"/>
      <c r="Z17" s="94"/>
      <c r="AA17" s="97"/>
      <c r="AB17" s="97"/>
      <c r="AC17" s="94"/>
      <c r="AD17" s="94"/>
      <c r="AE17" s="98"/>
      <c r="AF17" s="94"/>
      <c r="AG17" s="94"/>
      <c r="AH17" s="66" t="s">
        <v>113</v>
      </c>
      <c r="AI17" s="71">
        <f t="shared" si="4"/>
        <v>144.85000000000002</v>
      </c>
      <c r="AJ17" s="53">
        <v>1</v>
      </c>
      <c r="AK17" s="71" t="e" vm="1">
        <v>#VALUE!</v>
      </c>
    </row>
    <row r="18" spans="1:37" ht="19.149999999999999" customHeight="1">
      <c r="A18" s="66"/>
      <c r="B18" s="94"/>
      <c r="C18" s="94"/>
      <c r="D18" s="94"/>
      <c r="E18" s="94"/>
      <c r="F18" s="97"/>
      <c r="G18" s="97"/>
      <c r="H18" s="94"/>
      <c r="I18" s="94"/>
      <c r="J18" s="94"/>
      <c r="K18" s="94"/>
      <c r="L18" s="94"/>
      <c r="M18" s="97"/>
      <c r="N18" s="97"/>
      <c r="O18" s="94"/>
      <c r="P18" s="94"/>
      <c r="Q18" s="94"/>
      <c r="R18" s="94"/>
      <c r="S18" s="94"/>
      <c r="T18" s="97"/>
      <c r="U18" s="97"/>
      <c r="V18" s="94"/>
      <c r="W18" s="94"/>
      <c r="X18" s="94"/>
      <c r="Y18" s="94"/>
      <c r="Z18" s="94"/>
      <c r="AA18" s="97"/>
      <c r="AB18" s="97"/>
      <c r="AC18" s="94"/>
      <c r="AD18" s="94"/>
      <c r="AE18" s="98"/>
      <c r="AF18" s="94"/>
      <c r="AG18" s="94"/>
      <c r="AH18" s="66"/>
      <c r="AI18" s="71"/>
      <c r="AJ18" s="53"/>
      <c r="AK18" s="71"/>
    </row>
    <row r="19" spans="1:37" ht="19.149999999999999" customHeight="1">
      <c r="A19" s="66" t="s">
        <v>178</v>
      </c>
      <c r="B19" s="94" t="s">
        <v>179</v>
      </c>
      <c r="C19" s="94"/>
      <c r="D19" s="94"/>
      <c r="E19" s="94"/>
      <c r="F19" s="97"/>
      <c r="G19" s="97"/>
      <c r="H19" s="94"/>
      <c r="I19" s="94"/>
      <c r="J19" s="94"/>
      <c r="K19" s="94"/>
      <c r="L19" s="94"/>
      <c r="M19" s="97"/>
      <c r="N19" s="97"/>
      <c r="O19" s="94"/>
      <c r="P19" s="94"/>
      <c r="Q19" s="94"/>
      <c r="R19" s="94"/>
      <c r="S19" s="94"/>
      <c r="T19" s="97"/>
      <c r="U19" s="97"/>
      <c r="V19" s="94"/>
      <c r="W19" s="94"/>
      <c r="X19" s="94"/>
      <c r="Y19" s="94"/>
      <c r="Z19" s="94"/>
      <c r="AA19" s="97"/>
      <c r="AB19" s="97"/>
      <c r="AC19" s="94"/>
      <c r="AD19" s="94"/>
      <c r="AE19" s="98"/>
      <c r="AF19" s="94"/>
      <c r="AG19" s="94"/>
      <c r="AH19" s="66" t="s">
        <v>178</v>
      </c>
      <c r="AI19" s="71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3">
        <v>2</v>
      </c>
      <c r="AK19" s="71" t="e" vm="1">
        <v>#VALUE!</v>
      </c>
    </row>
    <row r="20" spans="1:37" ht="19.149999999999999" customHeight="1">
      <c r="A20" s="66" t="s">
        <v>121</v>
      </c>
      <c r="B20" s="94" t="s">
        <v>179</v>
      </c>
      <c r="C20" s="94"/>
      <c r="D20" s="94"/>
      <c r="E20" s="99" t="s">
        <v>153</v>
      </c>
      <c r="F20" s="97"/>
      <c r="G20" s="97"/>
      <c r="H20" s="94"/>
      <c r="I20" s="94"/>
      <c r="J20" s="94"/>
      <c r="K20" s="94"/>
      <c r="L20" s="94"/>
      <c r="M20" s="97"/>
      <c r="N20" s="97"/>
      <c r="O20" s="94"/>
      <c r="P20" s="94"/>
      <c r="Q20" s="94"/>
      <c r="R20" s="94"/>
      <c r="S20" s="94"/>
      <c r="T20" s="97"/>
      <c r="U20" s="97"/>
      <c r="V20" s="94"/>
      <c r="W20" s="94"/>
      <c r="X20" s="94"/>
      <c r="Y20" s="94"/>
      <c r="Z20" s="94"/>
      <c r="AA20" s="97"/>
      <c r="AB20" s="97"/>
      <c r="AC20" s="94"/>
      <c r="AD20" s="94"/>
      <c r="AE20" s="98"/>
      <c r="AF20" s="94"/>
      <c r="AG20" s="94"/>
      <c r="AH20" s="66" t="s">
        <v>121</v>
      </c>
      <c r="AI20" s="71">
        <f t="shared" si="5"/>
        <v>149</v>
      </c>
      <c r="AJ20" s="53">
        <v>2</v>
      </c>
      <c r="AK20" s="71" t="e" vm="1">
        <v>#VALUE!</v>
      </c>
    </row>
    <row r="21" spans="1:37" ht="19.149999999999999" customHeight="1">
      <c r="A21" s="66" t="s">
        <v>180</v>
      </c>
      <c r="B21" s="94" t="s">
        <v>179</v>
      </c>
      <c r="C21" s="94"/>
      <c r="D21" s="94"/>
      <c r="E21" s="94"/>
      <c r="F21" s="97"/>
      <c r="G21" s="97"/>
      <c r="H21" s="94"/>
      <c r="I21" s="94"/>
      <c r="J21" s="94"/>
      <c r="K21" s="94"/>
      <c r="L21" s="94"/>
      <c r="M21" s="97"/>
      <c r="N21" s="97"/>
      <c r="O21" s="94"/>
      <c r="P21" s="94"/>
      <c r="Q21" s="94"/>
      <c r="R21" s="94"/>
      <c r="S21" s="94"/>
      <c r="T21" s="97"/>
      <c r="U21" s="97"/>
      <c r="V21" s="94"/>
      <c r="W21" s="94"/>
      <c r="X21" s="94"/>
      <c r="Y21" s="94"/>
      <c r="Z21" s="94"/>
      <c r="AA21" s="97"/>
      <c r="AB21" s="97"/>
      <c r="AC21" s="94"/>
      <c r="AD21" s="94"/>
      <c r="AE21" s="99" t="s">
        <v>153</v>
      </c>
      <c r="AF21" s="94"/>
      <c r="AG21" s="94"/>
      <c r="AH21" s="66" t="s">
        <v>122</v>
      </c>
      <c r="AI21" s="71">
        <f t="shared" si="5"/>
        <v>149</v>
      </c>
      <c r="AJ21" s="53">
        <v>2</v>
      </c>
      <c r="AK21" s="71" t="e" vm="1">
        <v>#VALUE!</v>
      </c>
    </row>
    <row r="22" spans="1:37" ht="19.149999999999999" customHeight="1">
      <c r="A22" s="66" t="s">
        <v>123</v>
      </c>
      <c r="B22" s="94" t="s">
        <v>179</v>
      </c>
      <c r="C22" s="94"/>
      <c r="D22" s="94"/>
      <c r="E22" s="94"/>
      <c r="F22" s="97"/>
      <c r="G22" s="97"/>
      <c r="H22" s="94"/>
      <c r="I22" s="94"/>
      <c r="J22" s="94"/>
      <c r="K22" s="94"/>
      <c r="L22" s="94"/>
      <c r="M22" s="97"/>
      <c r="N22" s="97"/>
      <c r="O22" s="94"/>
      <c r="P22" s="94"/>
      <c r="Q22" s="94"/>
      <c r="R22" s="94"/>
      <c r="S22" s="94"/>
      <c r="T22" s="97"/>
      <c r="U22" s="97"/>
      <c r="V22" s="94"/>
      <c r="W22" s="94"/>
      <c r="X22" s="94"/>
      <c r="Y22" s="94"/>
      <c r="Z22" s="94"/>
      <c r="AA22" s="97"/>
      <c r="AB22" s="97"/>
      <c r="AC22" s="94"/>
      <c r="AD22" s="94"/>
      <c r="AE22" s="98"/>
      <c r="AF22" s="94"/>
      <c r="AG22" s="94"/>
      <c r="AH22" s="66" t="s">
        <v>123</v>
      </c>
      <c r="AI22" s="71">
        <f t="shared" si="5"/>
        <v>156.45000000000002</v>
      </c>
      <c r="AJ22" s="53">
        <v>2</v>
      </c>
      <c r="AK22" s="71" t="e" vm="1">
        <v>#VALUE!</v>
      </c>
    </row>
    <row r="23" spans="1:37" ht="19.149999999999999" customHeight="1">
      <c r="A23" s="66" t="s">
        <v>181</v>
      </c>
      <c r="B23" s="94" t="s">
        <v>179</v>
      </c>
      <c r="C23" s="94"/>
      <c r="D23" s="94"/>
      <c r="E23" s="94"/>
      <c r="F23" s="97"/>
      <c r="G23" s="97"/>
      <c r="H23" s="94"/>
      <c r="I23" s="94"/>
      <c r="J23" s="94"/>
      <c r="K23" s="94"/>
      <c r="L23" s="94"/>
      <c r="M23" s="97"/>
      <c r="N23" s="97"/>
      <c r="O23" s="94"/>
      <c r="P23" s="94"/>
      <c r="Q23" s="94"/>
      <c r="R23" s="94"/>
      <c r="S23" s="94"/>
      <c r="T23" s="97"/>
      <c r="U23" s="97"/>
      <c r="V23" s="94"/>
      <c r="W23" s="94"/>
      <c r="X23" s="94"/>
      <c r="Y23" s="94"/>
      <c r="Z23" s="94"/>
      <c r="AA23" s="97"/>
      <c r="AB23" s="97"/>
      <c r="AC23" s="94"/>
      <c r="AD23" s="94"/>
      <c r="AE23" s="98"/>
      <c r="AF23" s="94"/>
      <c r="AG23" s="94"/>
      <c r="AH23" s="66" t="s">
        <v>181</v>
      </c>
      <c r="AI23" s="71">
        <f t="shared" si="5"/>
        <v>156.45000000000002</v>
      </c>
      <c r="AJ23" s="53">
        <v>2</v>
      </c>
      <c r="AK23" s="71" t="e" vm="1">
        <v>#VALUE!</v>
      </c>
    </row>
    <row r="24" spans="1:37" ht="19.149999999999999" customHeight="1">
      <c r="A24" s="53"/>
      <c r="B24" s="53"/>
      <c r="C24" s="94"/>
      <c r="D24" s="94"/>
      <c r="E24" s="94"/>
      <c r="F24" s="97"/>
      <c r="G24" s="97"/>
      <c r="H24" s="94"/>
      <c r="I24" s="94"/>
      <c r="J24" s="94"/>
      <c r="K24" s="94"/>
      <c r="L24" s="94"/>
      <c r="M24" s="97"/>
      <c r="N24" s="97"/>
      <c r="O24" s="94"/>
      <c r="P24" s="94"/>
      <c r="Q24" s="94"/>
      <c r="R24" s="94"/>
      <c r="S24" s="94"/>
      <c r="T24" s="97"/>
      <c r="U24" s="97"/>
      <c r="V24" s="94"/>
      <c r="W24" s="94"/>
      <c r="X24" s="94"/>
      <c r="Y24" s="94"/>
      <c r="Z24" s="94"/>
      <c r="AA24" s="97"/>
      <c r="AB24" s="97"/>
      <c r="AC24" s="94"/>
      <c r="AD24" s="94"/>
      <c r="AE24" s="98"/>
      <c r="AF24" s="94"/>
      <c r="AG24" s="94"/>
      <c r="AH24" s="53"/>
      <c r="AI24" s="53"/>
      <c r="AJ24" s="53"/>
      <c r="AK24" s="53"/>
    </row>
    <row r="25" spans="1:37" ht="19.149999999999999" customHeight="1">
      <c r="A25" s="66"/>
      <c r="B25" s="94"/>
      <c r="C25" s="94"/>
      <c r="D25" s="94"/>
      <c r="E25" s="94"/>
      <c r="F25" s="97"/>
      <c r="G25" s="97"/>
      <c r="H25" s="94"/>
      <c r="I25" s="94"/>
      <c r="J25" s="94"/>
      <c r="K25" s="94"/>
      <c r="L25" s="94"/>
      <c r="M25" s="97"/>
      <c r="N25" s="97"/>
      <c r="O25" s="94"/>
      <c r="P25" s="94"/>
      <c r="Q25" s="94"/>
      <c r="R25" s="94"/>
      <c r="S25" s="94"/>
      <c r="T25" s="97"/>
      <c r="U25" s="97"/>
      <c r="V25" s="94"/>
      <c r="W25" s="94"/>
      <c r="X25" s="94"/>
      <c r="Y25" s="94"/>
      <c r="Z25" s="94"/>
      <c r="AA25" s="97"/>
      <c r="AB25" s="97"/>
      <c r="AC25" s="94"/>
      <c r="AD25" s="94"/>
      <c r="AE25" s="98"/>
      <c r="AF25" s="94"/>
      <c r="AG25" s="94"/>
      <c r="AH25" s="66"/>
      <c r="AI25" s="53">
        <f>_xlfn.LET(
    _xlpm._範囲, $C25:$AG25,
    _xlpm._交差日数,
        COUNTIF(_xlpm._範囲, "湖"),
    _xlpm._交差日数*7.45
)</f>
        <v>0</v>
      </c>
      <c r="AJ25" s="53">
        <v>1</v>
      </c>
      <c r="AK25" s="53"/>
    </row>
    <row r="26" spans="1:37" ht="19.149999999999999" customHeight="1">
      <c r="A26" s="66" t="s">
        <v>182</v>
      </c>
      <c r="B26" s="94" t="s">
        <v>156</v>
      </c>
      <c r="C26" s="94"/>
      <c r="D26" s="94"/>
      <c r="E26" s="94"/>
      <c r="F26" s="97"/>
      <c r="G26" s="97"/>
      <c r="H26" s="94"/>
      <c r="I26" s="94"/>
      <c r="J26" s="94"/>
      <c r="K26" s="94"/>
      <c r="L26" s="94"/>
      <c r="M26" s="97"/>
      <c r="N26" s="97"/>
      <c r="O26" s="94"/>
      <c r="P26" s="94"/>
      <c r="Q26" s="94"/>
      <c r="R26" s="94"/>
      <c r="S26" s="94"/>
      <c r="T26" s="97"/>
      <c r="U26" s="97"/>
      <c r="V26" s="94"/>
      <c r="W26" s="94"/>
      <c r="X26" s="94"/>
      <c r="Y26" s="94"/>
      <c r="Z26" s="94"/>
      <c r="AA26" s="97"/>
      <c r="AB26" s="97"/>
      <c r="AC26" s="94"/>
      <c r="AD26" s="94"/>
      <c r="AE26" s="98"/>
      <c r="AF26" s="94"/>
      <c r="AG26" s="94"/>
      <c r="AH26" s="66" t="s">
        <v>182</v>
      </c>
      <c r="AI26" s="53">
        <f>_xlfn.LET(
    _xlpm._範囲, $C26:$AG26,
    _xlpm._交差日数,
        COUNTIF(_xlpm._範囲, "湖"),
    _xlpm._交差日数*7.45
)</f>
        <v>0</v>
      </c>
      <c r="AJ26" s="53">
        <v>1</v>
      </c>
      <c r="AK26" s="53"/>
    </row>
    <row r="27" spans="1:37" ht="19.149999999999999" customHeight="1">
      <c r="AH27" s="72" t="s">
        <v>183</v>
      </c>
      <c r="AI27" s="53" t="e" vm="2">
        <f>SUM(AI28:AI30)</f>
        <v>#VALUE!</v>
      </c>
    </row>
    <row r="28" spans="1:37" ht="19.149999999999999" customHeight="1">
      <c r="AH28" s="72" t="s">
        <v>184</v>
      </c>
      <c r="AI28" s="53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53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72" t="s">
        <v>179</v>
      </c>
      <c r="AI29" s="53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53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72" t="s">
        <v>185</v>
      </c>
      <c r="AI30" s="53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53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53" t="s">
        <v>186</v>
      </c>
      <c r="AK31" s="53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Q20" sqref="Q20"/>
    </sheetView>
  </sheetViews>
  <sheetFormatPr defaultRowHeight="19.149999999999999" customHeight="1"/>
  <cols>
    <col min="1" max="1" width="13.25" style="74" bestFit="1" customWidth="1"/>
    <col min="2" max="2" width="7.375" style="74" bestFit="1" customWidth="1"/>
    <col min="3" max="3" width="3.625" style="74" customWidth="1"/>
    <col min="4" max="4" width="16.5" style="74" bestFit="1" customWidth="1"/>
    <col min="5" max="10" width="3.625" style="74" customWidth="1"/>
    <col min="11" max="11" width="5.5" style="74" bestFit="1" customWidth="1"/>
    <col min="12" max="13" width="4" style="74" bestFit="1" customWidth="1"/>
    <col min="14" max="14" width="6.5" style="74" bestFit="1" customWidth="1"/>
    <col min="15" max="15" width="4" style="74" bestFit="1" customWidth="1"/>
    <col min="16" max="16" width="5.5" style="74" bestFit="1" customWidth="1"/>
    <col min="17" max="19" width="4" style="74" bestFit="1" customWidth="1"/>
    <col min="20" max="20" width="5.25" style="74" bestFit="1" customWidth="1"/>
    <col min="21" max="21" width="4" style="74" bestFit="1" customWidth="1"/>
    <col min="22" max="22" width="6.5" style="74" bestFit="1" customWidth="1"/>
    <col min="23" max="23" width="4" style="74" bestFit="1" customWidth="1"/>
    <col min="24" max="24" width="9" style="74" bestFit="1" customWidth="1"/>
    <col min="25" max="27" width="4" style="74" bestFit="1" customWidth="1"/>
    <col min="28" max="28" width="24.25" style="74" bestFit="1" customWidth="1"/>
    <col min="29" max="33" width="4" style="74" bestFit="1" customWidth="1"/>
    <col min="34" max="34" width="13.25" style="74" bestFit="1" customWidth="1"/>
    <col min="35" max="35" width="13" style="74" bestFit="1" customWidth="1"/>
    <col min="36" max="36" width="11" style="74" bestFit="1" customWidth="1"/>
    <col min="37" max="37" width="8.125" style="74" bestFit="1" customWidth="1"/>
    <col min="38" max="38" width="3.625" style="74" customWidth="1"/>
    <col min="39" max="16384" width="9" style="74"/>
  </cols>
  <sheetData>
    <row r="1" spans="1:38" ht="19.149999999999999" customHeight="1" thickBot="1">
      <c r="A1" s="73">
        <v>46143</v>
      </c>
      <c r="AB1" s="75" t="s">
        <v>151</v>
      </c>
    </row>
    <row r="2" spans="1:38" ht="19.149999999999999" customHeight="1" thickBot="1">
      <c r="A2" s="76">
        <f>YEAR(A1)</f>
        <v>2026</v>
      </c>
      <c r="B2" s="77">
        <f>MONTH(A1)</f>
        <v>5</v>
      </c>
      <c r="D2" s="78" t="s">
        <v>152</v>
      </c>
      <c r="J2" s="75" t="s">
        <v>153</v>
      </c>
      <c r="K2" s="75" t="s">
        <v>154</v>
      </c>
      <c r="L2" s="79"/>
      <c r="N2" s="75" t="s">
        <v>155</v>
      </c>
      <c r="O2" s="75"/>
      <c r="P2" s="75" t="s">
        <v>156</v>
      </c>
      <c r="Q2" s="75"/>
      <c r="S2" s="75" t="s">
        <v>157</v>
      </c>
      <c r="T2" s="74" t="s">
        <v>158</v>
      </c>
      <c r="V2" s="80" t="s">
        <v>159</v>
      </c>
      <c r="W2" s="81"/>
      <c r="X2" s="82" t="s">
        <v>160</v>
      </c>
      <c r="Y2" s="81"/>
      <c r="Z2" s="83"/>
      <c r="AB2" s="75" t="s">
        <v>161</v>
      </c>
      <c r="AI2" s="84" t="s">
        <v>162</v>
      </c>
    </row>
    <row r="3" spans="1:38" ht="9.75" customHeight="1">
      <c r="AI3" s="84"/>
    </row>
    <row r="4" spans="1:38" ht="19.149999999999999" customHeight="1">
      <c r="A4" s="85"/>
      <c r="B4" s="85"/>
      <c r="C4" s="100">
        <f>DATEVALUE(A2&amp;"/"&amp;B2&amp;"/1")</f>
        <v>46143</v>
      </c>
      <c r="D4" s="100">
        <f>C4+1</f>
        <v>46144</v>
      </c>
      <c r="E4" s="101">
        <f t="shared" ref="E4:T5" si="0">D4+1</f>
        <v>46145</v>
      </c>
      <c r="F4" s="102">
        <f t="shared" si="0"/>
        <v>46146</v>
      </c>
      <c r="G4" s="102">
        <f t="shared" si="0"/>
        <v>46147</v>
      </c>
      <c r="H4" s="102">
        <f t="shared" si="0"/>
        <v>46148</v>
      </c>
      <c r="I4" s="100">
        <f t="shared" si="0"/>
        <v>46149</v>
      </c>
      <c r="J4" s="100">
        <f t="shared" si="0"/>
        <v>46150</v>
      </c>
      <c r="K4" s="101">
        <f t="shared" si="0"/>
        <v>46151</v>
      </c>
      <c r="L4" s="101">
        <f t="shared" si="0"/>
        <v>46152</v>
      </c>
      <c r="M4" s="100">
        <f t="shared" si="0"/>
        <v>46153</v>
      </c>
      <c r="N4" s="100">
        <f t="shared" si="0"/>
        <v>46154</v>
      </c>
      <c r="O4" s="100">
        <f t="shared" si="0"/>
        <v>46155</v>
      </c>
      <c r="P4" s="100">
        <f t="shared" si="0"/>
        <v>46156</v>
      </c>
      <c r="Q4" s="100">
        <f t="shared" si="0"/>
        <v>46157</v>
      </c>
      <c r="R4" s="101">
        <f t="shared" si="0"/>
        <v>46158</v>
      </c>
      <c r="S4" s="101">
        <f t="shared" si="0"/>
        <v>46159</v>
      </c>
      <c r="T4" s="100">
        <f t="shared" si="0"/>
        <v>46160</v>
      </c>
      <c r="U4" s="100">
        <f t="shared" ref="U4:AG5" si="1">T4+1</f>
        <v>46161</v>
      </c>
      <c r="V4" s="100">
        <f t="shared" si="1"/>
        <v>46162</v>
      </c>
      <c r="W4" s="100">
        <f t="shared" si="1"/>
        <v>46163</v>
      </c>
      <c r="X4" s="100">
        <f t="shared" si="1"/>
        <v>46164</v>
      </c>
      <c r="Y4" s="101">
        <f t="shared" si="1"/>
        <v>46165</v>
      </c>
      <c r="Z4" s="101">
        <f t="shared" si="1"/>
        <v>46166</v>
      </c>
      <c r="AA4" s="100">
        <f t="shared" si="1"/>
        <v>46167</v>
      </c>
      <c r="AB4" s="100">
        <f t="shared" si="1"/>
        <v>46168</v>
      </c>
      <c r="AC4" s="100">
        <f t="shared" si="1"/>
        <v>46169</v>
      </c>
      <c r="AD4" s="100">
        <f t="shared" si="1"/>
        <v>46170</v>
      </c>
      <c r="AE4" s="100">
        <f t="shared" si="1"/>
        <v>46171</v>
      </c>
      <c r="AF4" s="101">
        <f t="shared" si="1"/>
        <v>46172</v>
      </c>
      <c r="AG4" s="101">
        <f t="shared" si="1"/>
        <v>46173</v>
      </c>
      <c r="AH4" s="86"/>
      <c r="AI4" s="87">
        <v>21</v>
      </c>
      <c r="AL4" s="86"/>
    </row>
    <row r="5" spans="1:38" ht="19.149999999999999" customHeight="1">
      <c r="A5" s="85"/>
      <c r="B5" s="103" t="s">
        <v>163</v>
      </c>
      <c r="C5" s="104">
        <f>C4</f>
        <v>46143</v>
      </c>
      <c r="D5" s="104">
        <f>C5+1</f>
        <v>46144</v>
      </c>
      <c r="E5" s="105">
        <f t="shared" si="0"/>
        <v>46145</v>
      </c>
      <c r="F5" s="106">
        <f t="shared" si="0"/>
        <v>46146</v>
      </c>
      <c r="G5" s="106">
        <f t="shared" si="0"/>
        <v>46147</v>
      </c>
      <c r="H5" s="106">
        <f t="shared" si="0"/>
        <v>46148</v>
      </c>
      <c r="I5" s="104">
        <f t="shared" si="0"/>
        <v>46149</v>
      </c>
      <c r="J5" s="104">
        <f t="shared" si="0"/>
        <v>46150</v>
      </c>
      <c r="K5" s="105">
        <f t="shared" si="0"/>
        <v>46151</v>
      </c>
      <c r="L5" s="105">
        <f t="shared" si="0"/>
        <v>46152</v>
      </c>
      <c r="M5" s="104">
        <f t="shared" si="0"/>
        <v>46153</v>
      </c>
      <c r="N5" s="104">
        <f t="shared" si="0"/>
        <v>46154</v>
      </c>
      <c r="O5" s="104">
        <f t="shared" si="0"/>
        <v>46155</v>
      </c>
      <c r="P5" s="104">
        <f t="shared" si="0"/>
        <v>46156</v>
      </c>
      <c r="Q5" s="104">
        <f t="shared" si="0"/>
        <v>46157</v>
      </c>
      <c r="R5" s="105">
        <f t="shared" si="0"/>
        <v>46158</v>
      </c>
      <c r="S5" s="105">
        <f t="shared" si="0"/>
        <v>46159</v>
      </c>
      <c r="T5" s="104">
        <f t="shared" si="0"/>
        <v>46160</v>
      </c>
      <c r="U5" s="104">
        <f t="shared" si="1"/>
        <v>46161</v>
      </c>
      <c r="V5" s="104">
        <f t="shared" si="1"/>
        <v>46162</v>
      </c>
      <c r="W5" s="104">
        <f t="shared" si="1"/>
        <v>46163</v>
      </c>
      <c r="X5" s="104">
        <f t="shared" si="1"/>
        <v>46164</v>
      </c>
      <c r="Y5" s="105">
        <f t="shared" si="1"/>
        <v>46165</v>
      </c>
      <c r="Z5" s="105">
        <f t="shared" si="1"/>
        <v>46166</v>
      </c>
      <c r="AA5" s="104">
        <f t="shared" si="1"/>
        <v>46167</v>
      </c>
      <c r="AB5" s="104">
        <f t="shared" si="1"/>
        <v>46168</v>
      </c>
      <c r="AC5" s="104">
        <f t="shared" si="1"/>
        <v>46169</v>
      </c>
      <c r="AD5" s="104">
        <f t="shared" si="1"/>
        <v>46170</v>
      </c>
      <c r="AE5" s="104">
        <f t="shared" si="1"/>
        <v>46171</v>
      </c>
      <c r="AF5" s="105">
        <f t="shared" si="1"/>
        <v>46172</v>
      </c>
      <c r="AG5" s="105">
        <f t="shared" si="1"/>
        <v>46173</v>
      </c>
      <c r="AH5" s="88"/>
      <c r="AI5" s="89" t="s">
        <v>164</v>
      </c>
      <c r="AJ5" s="84" t="s">
        <v>165</v>
      </c>
      <c r="AK5" s="84" t="s">
        <v>166</v>
      </c>
      <c r="AL5" s="88"/>
    </row>
    <row r="6" spans="1:38" ht="19.149999999999999" customHeight="1">
      <c r="A6" s="85" t="s">
        <v>167</v>
      </c>
      <c r="B6" s="103"/>
      <c r="C6" s="103"/>
      <c r="D6" s="103"/>
      <c r="E6" s="107"/>
      <c r="F6" s="108"/>
      <c r="G6" s="108"/>
      <c r="H6" s="108"/>
      <c r="I6" s="103"/>
      <c r="J6" s="103"/>
      <c r="K6" s="107"/>
      <c r="L6" s="107"/>
      <c r="M6" s="103"/>
      <c r="N6" s="103"/>
      <c r="O6" s="103"/>
      <c r="P6" s="103"/>
      <c r="Q6" s="103"/>
      <c r="R6" s="107"/>
      <c r="S6" s="107"/>
      <c r="T6" s="103"/>
      <c r="U6" s="103"/>
      <c r="V6" s="103"/>
      <c r="W6" s="103"/>
      <c r="X6" s="103"/>
      <c r="Y6" s="107"/>
      <c r="Z6" s="107"/>
      <c r="AA6" s="103"/>
      <c r="AB6" s="103"/>
      <c r="AC6" s="103"/>
      <c r="AD6" s="103"/>
      <c r="AE6" s="109"/>
      <c r="AF6" s="107"/>
      <c r="AG6" s="107"/>
      <c r="AH6" s="85" t="s">
        <v>167</v>
      </c>
      <c r="AI6" s="9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84">
        <v>0</v>
      </c>
      <c r="AK6" s="84"/>
    </row>
    <row r="7" spans="1:38" ht="19.149999999999999" customHeight="1">
      <c r="A7" s="85"/>
      <c r="B7" s="103"/>
      <c r="C7" s="103"/>
      <c r="D7" s="103"/>
      <c r="E7" s="107"/>
      <c r="F7" s="108"/>
      <c r="G7" s="108"/>
      <c r="H7" s="108"/>
      <c r="I7" s="103"/>
      <c r="J7" s="103"/>
      <c r="K7" s="107"/>
      <c r="L7" s="107"/>
      <c r="M7" s="103"/>
      <c r="N7" s="103"/>
      <c r="O7" s="103"/>
      <c r="P7" s="103"/>
      <c r="Q7" s="103"/>
      <c r="R7" s="107"/>
      <c r="S7" s="107"/>
      <c r="T7" s="103"/>
      <c r="U7" s="103"/>
      <c r="V7" s="103"/>
      <c r="W7" s="103"/>
      <c r="X7" s="103"/>
      <c r="Y7" s="107"/>
      <c r="Z7" s="107"/>
      <c r="AA7" s="103"/>
      <c r="AB7" s="103"/>
      <c r="AC7" s="103"/>
      <c r="AD7" s="103"/>
      <c r="AE7" s="109"/>
      <c r="AF7" s="107"/>
      <c r="AG7" s="107"/>
      <c r="AH7" s="85"/>
      <c r="AI7" s="9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84"/>
      <c r="AK7" s="84"/>
    </row>
    <row r="8" spans="1:38" ht="19.149999999999999" customHeight="1">
      <c r="A8" s="85" t="s">
        <v>168</v>
      </c>
      <c r="B8" s="103"/>
      <c r="C8" s="103"/>
      <c r="D8" s="103"/>
      <c r="E8" s="107"/>
      <c r="F8" s="108"/>
      <c r="G8" s="108"/>
      <c r="H8" s="108"/>
      <c r="I8" s="103"/>
      <c r="J8" s="103"/>
      <c r="K8" s="107"/>
      <c r="L8" s="107"/>
      <c r="M8" s="103"/>
      <c r="N8" s="103"/>
      <c r="O8" s="103"/>
      <c r="P8" s="103"/>
      <c r="Q8" s="103"/>
      <c r="R8" s="107"/>
      <c r="S8" s="107"/>
      <c r="T8" s="103"/>
      <c r="U8" s="103"/>
      <c r="V8" s="103"/>
      <c r="W8" s="103"/>
      <c r="X8" s="103"/>
      <c r="Y8" s="107"/>
      <c r="Z8" s="107"/>
      <c r="AA8" s="103"/>
      <c r="AB8" s="103"/>
      <c r="AC8" s="103"/>
      <c r="AD8" s="103"/>
      <c r="AE8" s="109"/>
      <c r="AF8" s="107"/>
      <c r="AG8" s="107"/>
      <c r="AH8" s="85" t="s">
        <v>115</v>
      </c>
      <c r="AI8" s="90">
        <f t="shared" si="2"/>
        <v>156.45000000000002</v>
      </c>
      <c r="AJ8" s="84">
        <v>0</v>
      </c>
      <c r="AK8" s="90" t="e" vm="1">
        <v>#VALUE!</v>
      </c>
    </row>
    <row r="9" spans="1:38" ht="19.149999999999999" customHeight="1">
      <c r="A9" s="85" t="s">
        <v>116</v>
      </c>
      <c r="B9" s="103"/>
      <c r="C9" s="103"/>
      <c r="D9" s="103"/>
      <c r="E9" s="107"/>
      <c r="F9" s="108"/>
      <c r="G9" s="108"/>
      <c r="H9" s="108"/>
      <c r="I9" s="103"/>
      <c r="J9" s="103"/>
      <c r="K9" s="107"/>
      <c r="L9" s="107"/>
      <c r="M9" s="103"/>
      <c r="N9" s="103"/>
      <c r="O9" s="103"/>
      <c r="P9" s="103"/>
      <c r="Q9" s="103"/>
      <c r="R9" s="107"/>
      <c r="S9" s="107"/>
      <c r="T9" s="103"/>
      <c r="U9" s="103"/>
      <c r="V9" s="103"/>
      <c r="W9" s="103"/>
      <c r="X9" s="103"/>
      <c r="Y9" s="107"/>
      <c r="Z9" s="107"/>
      <c r="AA9" s="103"/>
      <c r="AB9" s="103"/>
      <c r="AC9" s="103"/>
      <c r="AD9" s="103"/>
      <c r="AE9" s="109"/>
      <c r="AF9" s="107"/>
      <c r="AG9" s="107"/>
      <c r="AH9" s="85" t="s">
        <v>118</v>
      </c>
      <c r="AI9" s="90">
        <f t="shared" si="2"/>
        <v>156.45000000000002</v>
      </c>
      <c r="AJ9" s="84">
        <v>0</v>
      </c>
      <c r="AK9" s="90" t="e" vm="1">
        <v>#VALUE!</v>
      </c>
    </row>
    <row r="10" spans="1:38" ht="19.149999999999999" customHeight="1">
      <c r="A10" s="85"/>
      <c r="B10" s="103"/>
      <c r="C10" s="103"/>
      <c r="D10" s="103"/>
      <c r="E10" s="107"/>
      <c r="F10" s="108"/>
      <c r="G10" s="108"/>
      <c r="H10" s="108"/>
      <c r="I10" s="103"/>
      <c r="J10" s="103"/>
      <c r="K10" s="107"/>
      <c r="L10" s="107"/>
      <c r="M10" s="103"/>
      <c r="N10" s="103"/>
      <c r="O10" s="103"/>
      <c r="P10" s="103"/>
      <c r="Q10" s="103"/>
      <c r="R10" s="107"/>
      <c r="S10" s="107"/>
      <c r="T10" s="103"/>
      <c r="U10" s="103"/>
      <c r="V10" s="103"/>
      <c r="W10" s="103"/>
      <c r="X10" s="103"/>
      <c r="Y10" s="107"/>
      <c r="Z10" s="107"/>
      <c r="AA10" s="103"/>
      <c r="AB10" s="103"/>
      <c r="AC10" s="103"/>
      <c r="AD10" s="103"/>
      <c r="AE10" s="109"/>
      <c r="AF10" s="107"/>
      <c r="AG10" s="107"/>
      <c r="AH10" s="85"/>
      <c r="AI10" s="90"/>
      <c r="AJ10" s="84"/>
      <c r="AK10" s="90"/>
    </row>
    <row r="11" spans="1:38" ht="19.149999999999999" customHeight="1">
      <c r="A11" s="85" t="s">
        <v>171</v>
      </c>
      <c r="B11" s="103" t="s">
        <v>172</v>
      </c>
      <c r="C11" s="103"/>
      <c r="D11" s="103"/>
      <c r="E11" s="107"/>
      <c r="F11" s="108"/>
      <c r="G11" s="108"/>
      <c r="H11" s="108"/>
      <c r="I11" s="103"/>
      <c r="J11" s="103"/>
      <c r="K11" s="107"/>
      <c r="L11" s="107"/>
      <c r="M11" s="103"/>
      <c r="N11" s="103"/>
      <c r="O11" s="103"/>
      <c r="P11" s="103"/>
      <c r="Q11" s="103"/>
      <c r="R11" s="107"/>
      <c r="S11" s="107"/>
      <c r="T11" s="103"/>
      <c r="U11" s="103"/>
      <c r="V11" s="103"/>
      <c r="W11" s="103"/>
      <c r="X11" s="103"/>
      <c r="Y11" s="107"/>
      <c r="Z11" s="107"/>
      <c r="AA11" s="103"/>
      <c r="AB11" s="103"/>
      <c r="AC11" s="103"/>
      <c r="AD11" s="103"/>
      <c r="AE11" s="109"/>
      <c r="AF11" s="107"/>
      <c r="AG11" s="107"/>
      <c r="AH11" s="85" t="s">
        <v>119</v>
      </c>
      <c r="AI11" s="9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84">
        <v>1</v>
      </c>
      <c r="AK11" s="90" t="e" vm="1">
        <v>#VALUE!</v>
      </c>
    </row>
    <row r="12" spans="1:38" ht="19.149999999999999" customHeight="1">
      <c r="A12" s="85" t="s">
        <v>108</v>
      </c>
      <c r="B12" s="103" t="s">
        <v>172</v>
      </c>
      <c r="C12" s="103"/>
      <c r="D12" s="103"/>
      <c r="E12" s="107"/>
      <c r="F12" s="108"/>
      <c r="G12" s="108"/>
      <c r="H12" s="108"/>
      <c r="I12" s="103"/>
      <c r="J12" s="103"/>
      <c r="K12" s="107"/>
      <c r="L12" s="107"/>
      <c r="M12" s="103"/>
      <c r="N12" s="103"/>
      <c r="O12" s="103"/>
      <c r="P12" s="103"/>
      <c r="Q12" s="103"/>
      <c r="R12" s="107"/>
      <c r="S12" s="107"/>
      <c r="T12" s="103"/>
      <c r="U12" s="103"/>
      <c r="V12" s="103"/>
      <c r="W12" s="103"/>
      <c r="X12" s="103"/>
      <c r="Y12" s="107"/>
      <c r="Z12" s="107"/>
      <c r="AA12" s="103"/>
      <c r="AB12" s="103"/>
      <c r="AC12" s="103"/>
      <c r="AD12" s="103"/>
      <c r="AE12" s="109"/>
      <c r="AF12" s="107"/>
      <c r="AG12" s="107"/>
      <c r="AH12" s="85" t="s">
        <v>108</v>
      </c>
      <c r="AI12" s="90">
        <f t="shared" si="3"/>
        <v>156.45000000000002</v>
      </c>
      <c r="AJ12" s="84">
        <v>1</v>
      </c>
      <c r="AK12" s="90" t="e" vm="1">
        <v>#VALUE!</v>
      </c>
    </row>
    <row r="13" spans="1:38" ht="19.149999999999999" customHeight="1">
      <c r="A13" s="85" t="s">
        <v>110</v>
      </c>
      <c r="B13" s="103" t="s">
        <v>172</v>
      </c>
      <c r="C13" s="103"/>
      <c r="D13" s="103"/>
      <c r="E13" s="107"/>
      <c r="F13" s="108"/>
      <c r="G13" s="108"/>
      <c r="H13" s="108"/>
      <c r="I13" s="103"/>
      <c r="J13" s="103"/>
      <c r="K13" s="107"/>
      <c r="L13" s="107"/>
      <c r="M13" s="103"/>
      <c r="N13" s="103"/>
      <c r="O13" s="103"/>
      <c r="P13" s="103"/>
      <c r="Q13" s="103"/>
      <c r="R13" s="107"/>
      <c r="S13" s="107"/>
      <c r="T13" s="103"/>
      <c r="U13" s="103"/>
      <c r="V13" s="103"/>
      <c r="W13" s="103"/>
      <c r="X13" s="103"/>
      <c r="Y13" s="107"/>
      <c r="Z13" s="107"/>
      <c r="AA13" s="103"/>
      <c r="AB13" s="103"/>
      <c r="AC13" s="103"/>
      <c r="AD13" s="103"/>
      <c r="AE13" s="109"/>
      <c r="AF13" s="107"/>
      <c r="AG13" s="107"/>
      <c r="AH13" s="85" t="s">
        <v>110</v>
      </c>
      <c r="AI13" s="90">
        <f t="shared" si="3"/>
        <v>156.45000000000002</v>
      </c>
      <c r="AJ13" s="84">
        <v>1</v>
      </c>
      <c r="AK13" s="90" t="e" vm="1">
        <v>#VALUE!</v>
      </c>
    </row>
    <row r="14" spans="1:38" ht="19.149999999999999" customHeight="1">
      <c r="A14" s="85"/>
      <c r="B14" s="103"/>
      <c r="C14" s="103"/>
      <c r="D14" s="103"/>
      <c r="E14" s="107"/>
      <c r="F14" s="108"/>
      <c r="G14" s="108"/>
      <c r="H14" s="108"/>
      <c r="I14" s="103"/>
      <c r="J14" s="103"/>
      <c r="K14" s="107"/>
      <c r="L14" s="107"/>
      <c r="M14" s="103"/>
      <c r="N14" s="103"/>
      <c r="O14" s="103"/>
      <c r="P14" s="103"/>
      <c r="Q14" s="103"/>
      <c r="R14" s="107"/>
      <c r="S14" s="107"/>
      <c r="T14" s="103"/>
      <c r="U14" s="103"/>
      <c r="V14" s="103"/>
      <c r="W14" s="103"/>
      <c r="X14" s="103"/>
      <c r="Y14" s="107"/>
      <c r="Z14" s="107"/>
      <c r="AA14" s="103"/>
      <c r="AB14" s="103"/>
      <c r="AC14" s="103"/>
      <c r="AD14" s="103"/>
      <c r="AE14" s="109"/>
      <c r="AF14" s="107"/>
      <c r="AG14" s="107"/>
      <c r="AH14" s="85"/>
      <c r="AI14" s="90"/>
      <c r="AJ14" s="84"/>
      <c r="AK14" s="90" t="e" vm="1">
        <v>#VALUE!</v>
      </c>
    </row>
    <row r="15" spans="1:38" ht="19.149999999999999" customHeight="1">
      <c r="A15" s="85" t="s">
        <v>174</v>
      </c>
      <c r="B15" s="103" t="s">
        <v>172</v>
      </c>
      <c r="C15" s="103"/>
      <c r="D15" s="103"/>
      <c r="E15" s="107"/>
      <c r="F15" s="108"/>
      <c r="G15" s="108"/>
      <c r="H15" s="108"/>
      <c r="I15" s="110" t="s">
        <v>153</v>
      </c>
      <c r="J15" s="110" t="s">
        <v>153</v>
      </c>
      <c r="K15" s="107"/>
      <c r="L15" s="107"/>
      <c r="M15" s="103"/>
      <c r="N15" s="103"/>
      <c r="O15" s="103"/>
      <c r="P15" s="103"/>
      <c r="Q15" s="103"/>
      <c r="R15" s="107"/>
      <c r="S15" s="107"/>
      <c r="T15" s="103"/>
      <c r="U15" s="103"/>
      <c r="V15" s="103"/>
      <c r="W15" s="103"/>
      <c r="X15" s="103"/>
      <c r="Y15" s="107"/>
      <c r="Z15" s="107"/>
      <c r="AA15" s="103"/>
      <c r="AB15" s="103"/>
      <c r="AC15" s="103"/>
      <c r="AD15" s="103"/>
      <c r="AE15" s="109"/>
      <c r="AF15" s="107"/>
      <c r="AG15" s="107"/>
      <c r="AH15" s="85" t="s">
        <v>174</v>
      </c>
      <c r="AI15" s="9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84">
        <v>1</v>
      </c>
      <c r="AK15" s="90" t="e" vm="1">
        <v>#VALUE!</v>
      </c>
    </row>
    <row r="16" spans="1:38" ht="19.149999999999999" customHeight="1">
      <c r="A16" s="85" t="s">
        <v>175</v>
      </c>
      <c r="B16" s="103" t="s">
        <v>172</v>
      </c>
      <c r="C16" s="103"/>
      <c r="D16" s="103"/>
      <c r="E16" s="107"/>
      <c r="F16" s="108"/>
      <c r="G16" s="108"/>
      <c r="H16" s="108"/>
      <c r="I16" s="103"/>
      <c r="J16" s="103"/>
      <c r="K16" s="107"/>
      <c r="L16" s="107"/>
      <c r="M16" s="103"/>
      <c r="N16" s="103"/>
      <c r="O16" s="103"/>
      <c r="P16" s="103"/>
      <c r="Q16" s="103"/>
      <c r="R16" s="107"/>
      <c r="S16" s="107"/>
      <c r="T16" s="103"/>
      <c r="U16" s="103"/>
      <c r="V16" s="103"/>
      <c r="W16" s="103"/>
      <c r="X16" s="103"/>
      <c r="Y16" s="107"/>
      <c r="Z16" s="107"/>
      <c r="AA16" s="103"/>
      <c r="AB16" s="103"/>
      <c r="AC16" s="103"/>
      <c r="AD16" s="103"/>
      <c r="AE16" s="109"/>
      <c r="AF16" s="107"/>
      <c r="AG16" s="107"/>
      <c r="AH16" s="85" t="s">
        <v>175</v>
      </c>
      <c r="AI16" s="90">
        <f t="shared" si="4"/>
        <v>156.45000000000002</v>
      </c>
      <c r="AJ16" s="84">
        <v>1</v>
      </c>
      <c r="AK16" s="90" t="e" vm="1">
        <v>#VALUE!</v>
      </c>
    </row>
    <row r="17" spans="1:37" ht="19.149999999999999" customHeight="1">
      <c r="A17" s="85" t="s">
        <v>113</v>
      </c>
      <c r="B17" s="103" t="s">
        <v>172</v>
      </c>
      <c r="C17" s="103"/>
      <c r="D17" s="103"/>
      <c r="E17" s="107"/>
      <c r="F17" s="108"/>
      <c r="G17" s="108"/>
      <c r="H17" s="108"/>
      <c r="I17" s="103"/>
      <c r="J17" s="103"/>
      <c r="K17" s="107"/>
      <c r="L17" s="107"/>
      <c r="M17" s="103"/>
      <c r="N17" s="103"/>
      <c r="O17" s="103"/>
      <c r="P17" s="103"/>
      <c r="Q17" s="103"/>
      <c r="R17" s="107"/>
      <c r="S17" s="107"/>
      <c r="T17" s="103"/>
      <c r="U17" s="103"/>
      <c r="V17" s="103"/>
      <c r="W17" s="103"/>
      <c r="X17" s="103"/>
      <c r="Y17" s="107"/>
      <c r="Z17" s="107"/>
      <c r="AA17" s="103"/>
      <c r="AB17" s="103"/>
      <c r="AC17" s="103"/>
      <c r="AD17" s="103"/>
      <c r="AE17" s="109"/>
      <c r="AF17" s="107"/>
      <c r="AG17" s="107"/>
      <c r="AH17" s="85" t="s">
        <v>113</v>
      </c>
      <c r="AI17" s="90">
        <f t="shared" si="4"/>
        <v>156.45000000000002</v>
      </c>
      <c r="AJ17" s="84">
        <v>1</v>
      </c>
      <c r="AK17" s="90" t="e" vm="1">
        <v>#VALUE!</v>
      </c>
    </row>
    <row r="18" spans="1:37" ht="19.149999999999999" customHeight="1">
      <c r="A18" s="85"/>
      <c r="B18" s="103"/>
      <c r="C18" s="103"/>
      <c r="D18" s="103"/>
      <c r="E18" s="107"/>
      <c r="F18" s="108"/>
      <c r="G18" s="108"/>
      <c r="H18" s="108"/>
      <c r="I18" s="103"/>
      <c r="J18" s="103"/>
      <c r="K18" s="107"/>
      <c r="L18" s="107"/>
      <c r="M18" s="103"/>
      <c r="N18" s="103"/>
      <c r="O18" s="103"/>
      <c r="P18" s="103"/>
      <c r="Q18" s="103"/>
      <c r="R18" s="107"/>
      <c r="S18" s="107"/>
      <c r="T18" s="103"/>
      <c r="U18" s="103"/>
      <c r="V18" s="103"/>
      <c r="W18" s="103"/>
      <c r="X18" s="103"/>
      <c r="Y18" s="107"/>
      <c r="Z18" s="107"/>
      <c r="AA18" s="103"/>
      <c r="AB18" s="103"/>
      <c r="AC18" s="103"/>
      <c r="AD18" s="103"/>
      <c r="AE18" s="109"/>
      <c r="AF18" s="107"/>
      <c r="AG18" s="107"/>
      <c r="AH18" s="85"/>
      <c r="AI18" s="90"/>
      <c r="AJ18" s="84"/>
      <c r="AK18" s="90"/>
    </row>
    <row r="19" spans="1:37" ht="19.149999999999999" customHeight="1">
      <c r="A19" s="85" t="s">
        <v>178</v>
      </c>
      <c r="B19" s="103" t="s">
        <v>179</v>
      </c>
      <c r="C19" s="103"/>
      <c r="D19" s="103"/>
      <c r="E19" s="107"/>
      <c r="F19" s="108"/>
      <c r="G19" s="108"/>
      <c r="H19" s="108"/>
      <c r="I19" s="103"/>
      <c r="J19" s="103"/>
      <c r="K19" s="107"/>
      <c r="L19" s="107"/>
      <c r="M19" s="103"/>
      <c r="N19" s="103"/>
      <c r="O19" s="103"/>
      <c r="P19" s="103"/>
      <c r="Q19" s="103"/>
      <c r="R19" s="107"/>
      <c r="S19" s="107"/>
      <c r="T19" s="103"/>
      <c r="U19" s="103"/>
      <c r="V19" s="103"/>
      <c r="W19" s="103"/>
      <c r="X19" s="103"/>
      <c r="Y19" s="107"/>
      <c r="Z19" s="107"/>
      <c r="AA19" s="103"/>
      <c r="AB19" s="103"/>
      <c r="AC19" s="103"/>
      <c r="AD19" s="103"/>
      <c r="AE19" s="109"/>
      <c r="AF19" s="107"/>
      <c r="AG19" s="107"/>
      <c r="AH19" s="85" t="s">
        <v>178</v>
      </c>
      <c r="AI19" s="9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84">
        <v>2</v>
      </c>
      <c r="AK19" s="90" t="e" vm="1">
        <v>#VALUE!</v>
      </c>
    </row>
    <row r="20" spans="1:37" ht="19.149999999999999" customHeight="1">
      <c r="A20" s="85" t="s">
        <v>121</v>
      </c>
      <c r="B20" s="103" t="s">
        <v>179</v>
      </c>
      <c r="C20" s="103"/>
      <c r="D20" s="103"/>
      <c r="E20" s="107"/>
      <c r="F20" s="108"/>
      <c r="G20" s="108"/>
      <c r="H20" s="108"/>
      <c r="I20" s="103"/>
      <c r="J20" s="103"/>
      <c r="K20" s="107"/>
      <c r="L20" s="107"/>
      <c r="M20" s="103"/>
      <c r="N20" s="103"/>
      <c r="O20" s="103"/>
      <c r="P20" s="103"/>
      <c r="Q20" s="103"/>
      <c r="R20" s="107"/>
      <c r="S20" s="107"/>
      <c r="T20" s="103"/>
      <c r="U20" s="103"/>
      <c r="V20" s="103"/>
      <c r="W20" s="103"/>
      <c r="X20" s="103"/>
      <c r="Y20" s="107"/>
      <c r="Z20" s="107"/>
      <c r="AA20" s="103"/>
      <c r="AB20" s="103"/>
      <c r="AC20" s="103"/>
      <c r="AD20" s="103"/>
      <c r="AE20" s="109"/>
      <c r="AF20" s="107"/>
      <c r="AG20" s="107"/>
      <c r="AH20" s="85" t="s">
        <v>121</v>
      </c>
      <c r="AI20" s="90">
        <f t="shared" si="5"/>
        <v>156.45000000000002</v>
      </c>
      <c r="AJ20" s="84">
        <v>2</v>
      </c>
      <c r="AK20" s="90" t="e" vm="1">
        <v>#VALUE!</v>
      </c>
    </row>
    <row r="21" spans="1:37" ht="19.149999999999999" customHeight="1">
      <c r="A21" s="85" t="s">
        <v>180</v>
      </c>
      <c r="B21" s="103" t="s">
        <v>179</v>
      </c>
      <c r="C21" s="103"/>
      <c r="D21" s="103"/>
      <c r="E21" s="107"/>
      <c r="F21" s="108"/>
      <c r="G21" s="108"/>
      <c r="H21" s="108"/>
      <c r="I21" s="103"/>
      <c r="J21" s="103"/>
      <c r="K21" s="107"/>
      <c r="L21" s="107"/>
      <c r="M21" s="103"/>
      <c r="N21" s="103"/>
      <c r="O21" s="103"/>
      <c r="P21" s="103"/>
      <c r="Q21" s="103"/>
      <c r="R21" s="107"/>
      <c r="S21" s="107"/>
      <c r="T21" s="103"/>
      <c r="U21" s="103"/>
      <c r="V21" s="103"/>
      <c r="W21" s="103"/>
      <c r="X21" s="103"/>
      <c r="Y21" s="107"/>
      <c r="Z21" s="107"/>
      <c r="AA21" s="103"/>
      <c r="AB21" s="103"/>
      <c r="AC21" s="103"/>
      <c r="AD21" s="103"/>
      <c r="AE21" s="109"/>
      <c r="AF21" s="107"/>
      <c r="AG21" s="107"/>
      <c r="AH21" s="85" t="s">
        <v>122</v>
      </c>
      <c r="AI21" s="90">
        <f t="shared" si="5"/>
        <v>156.45000000000002</v>
      </c>
      <c r="AJ21" s="84">
        <v>2</v>
      </c>
      <c r="AK21" s="90" t="e" vm="1">
        <v>#VALUE!</v>
      </c>
    </row>
    <row r="22" spans="1:37" ht="19.149999999999999" customHeight="1">
      <c r="A22" s="85" t="s">
        <v>123</v>
      </c>
      <c r="B22" s="103" t="s">
        <v>179</v>
      </c>
      <c r="C22" s="103"/>
      <c r="D22" s="103"/>
      <c r="E22" s="107"/>
      <c r="F22" s="108"/>
      <c r="G22" s="108"/>
      <c r="H22" s="108"/>
      <c r="I22" s="103"/>
      <c r="J22" s="103"/>
      <c r="K22" s="107"/>
      <c r="L22" s="107"/>
      <c r="M22" s="103"/>
      <c r="N22" s="103"/>
      <c r="O22" s="103"/>
      <c r="P22" s="103"/>
      <c r="Q22" s="103"/>
      <c r="R22" s="107"/>
      <c r="S22" s="107"/>
      <c r="T22" s="103"/>
      <c r="U22" s="103"/>
      <c r="V22" s="103"/>
      <c r="W22" s="103"/>
      <c r="X22" s="103"/>
      <c r="Y22" s="107"/>
      <c r="Z22" s="107"/>
      <c r="AA22" s="103"/>
      <c r="AB22" s="103"/>
      <c r="AC22" s="103"/>
      <c r="AD22" s="103"/>
      <c r="AE22" s="109"/>
      <c r="AF22" s="107"/>
      <c r="AG22" s="107"/>
      <c r="AH22" s="85" t="s">
        <v>123</v>
      </c>
      <c r="AI22" s="90">
        <f t="shared" si="5"/>
        <v>156.45000000000002</v>
      </c>
      <c r="AJ22" s="84">
        <v>2</v>
      </c>
      <c r="AK22" s="90" t="e" vm="1">
        <v>#VALUE!</v>
      </c>
    </row>
    <row r="23" spans="1:37" ht="19.149999999999999" customHeight="1">
      <c r="A23" s="85" t="s">
        <v>181</v>
      </c>
      <c r="B23" s="103" t="s">
        <v>179</v>
      </c>
      <c r="C23" s="103"/>
      <c r="D23" s="103"/>
      <c r="E23" s="107"/>
      <c r="F23" s="108"/>
      <c r="G23" s="108"/>
      <c r="H23" s="108"/>
      <c r="I23" s="103"/>
      <c r="J23" s="103"/>
      <c r="K23" s="107"/>
      <c r="L23" s="107"/>
      <c r="M23" s="103"/>
      <c r="N23" s="103"/>
      <c r="O23" s="103"/>
      <c r="P23" s="103"/>
      <c r="Q23" s="103"/>
      <c r="R23" s="107"/>
      <c r="S23" s="107"/>
      <c r="T23" s="103"/>
      <c r="U23" s="103"/>
      <c r="V23" s="103"/>
      <c r="W23" s="103"/>
      <c r="X23" s="103"/>
      <c r="Y23" s="107"/>
      <c r="Z23" s="107"/>
      <c r="AA23" s="103"/>
      <c r="AB23" s="103"/>
      <c r="AC23" s="103"/>
      <c r="AD23" s="103"/>
      <c r="AE23" s="109"/>
      <c r="AF23" s="107"/>
      <c r="AG23" s="107"/>
      <c r="AH23" s="85" t="s">
        <v>181</v>
      </c>
      <c r="AI23" s="90">
        <f t="shared" si="5"/>
        <v>156.45000000000002</v>
      </c>
      <c r="AJ23" s="84">
        <v>2</v>
      </c>
      <c r="AK23" s="90" t="e" vm="1">
        <v>#VALUE!</v>
      </c>
    </row>
    <row r="24" spans="1:37" ht="19.149999999999999" customHeight="1">
      <c r="A24" s="84"/>
      <c r="B24" s="84"/>
      <c r="C24" s="103"/>
      <c r="D24" s="103"/>
      <c r="E24" s="107"/>
      <c r="F24" s="108"/>
      <c r="G24" s="108"/>
      <c r="H24" s="108"/>
      <c r="I24" s="103"/>
      <c r="J24" s="103"/>
      <c r="K24" s="107"/>
      <c r="L24" s="107"/>
      <c r="M24" s="103"/>
      <c r="N24" s="103"/>
      <c r="O24" s="103"/>
      <c r="P24" s="103"/>
      <c r="Q24" s="103"/>
      <c r="R24" s="107"/>
      <c r="S24" s="107"/>
      <c r="T24" s="103"/>
      <c r="U24" s="103"/>
      <c r="V24" s="103"/>
      <c r="W24" s="103"/>
      <c r="X24" s="103"/>
      <c r="Y24" s="107"/>
      <c r="Z24" s="107"/>
      <c r="AA24" s="103"/>
      <c r="AB24" s="103"/>
      <c r="AC24" s="103"/>
      <c r="AD24" s="103"/>
      <c r="AE24" s="109"/>
      <c r="AF24" s="107"/>
      <c r="AG24" s="107"/>
      <c r="AH24" s="84"/>
      <c r="AI24" s="84"/>
      <c r="AJ24" s="84"/>
      <c r="AK24" s="84"/>
    </row>
    <row r="25" spans="1:37" ht="19.149999999999999" customHeight="1">
      <c r="A25" s="85"/>
      <c r="B25" s="103"/>
      <c r="C25" s="103"/>
      <c r="D25" s="103"/>
      <c r="E25" s="107"/>
      <c r="F25" s="108"/>
      <c r="G25" s="108"/>
      <c r="H25" s="108"/>
      <c r="I25" s="103"/>
      <c r="J25" s="103"/>
      <c r="K25" s="107"/>
      <c r="L25" s="107"/>
      <c r="M25" s="103"/>
      <c r="N25" s="103"/>
      <c r="O25" s="103"/>
      <c r="P25" s="103"/>
      <c r="Q25" s="103"/>
      <c r="R25" s="107"/>
      <c r="S25" s="107"/>
      <c r="T25" s="103"/>
      <c r="U25" s="103"/>
      <c r="V25" s="103"/>
      <c r="W25" s="103"/>
      <c r="X25" s="103"/>
      <c r="Y25" s="107"/>
      <c r="Z25" s="107"/>
      <c r="AA25" s="103"/>
      <c r="AB25" s="103"/>
      <c r="AC25" s="103"/>
      <c r="AD25" s="103"/>
      <c r="AE25" s="109"/>
      <c r="AF25" s="107"/>
      <c r="AG25" s="107"/>
      <c r="AH25" s="85"/>
      <c r="AI25" s="84">
        <f>_xlfn.LET(
    _xlpm._範囲, $C25:$AG25,
    _xlpm._交差日数,
        COUNTIF(_xlpm._範囲, "湖"),
    _xlpm._交差日数*7.45
)</f>
        <v>0</v>
      </c>
      <c r="AJ25" s="84">
        <v>1</v>
      </c>
      <c r="AK25" s="84"/>
    </row>
    <row r="26" spans="1:37" ht="19.149999999999999" customHeight="1">
      <c r="A26" s="85" t="s">
        <v>182</v>
      </c>
      <c r="B26" s="103" t="s">
        <v>156</v>
      </c>
      <c r="C26" s="103"/>
      <c r="D26" s="103"/>
      <c r="E26" s="107"/>
      <c r="F26" s="108"/>
      <c r="G26" s="108"/>
      <c r="H26" s="108"/>
      <c r="I26" s="103"/>
      <c r="J26" s="103"/>
      <c r="K26" s="107"/>
      <c r="L26" s="107"/>
      <c r="M26" s="103"/>
      <c r="N26" s="103"/>
      <c r="O26" s="103"/>
      <c r="P26" s="103"/>
      <c r="Q26" s="103"/>
      <c r="R26" s="107"/>
      <c r="S26" s="107"/>
      <c r="T26" s="103"/>
      <c r="U26" s="103"/>
      <c r="V26" s="103"/>
      <c r="W26" s="103"/>
      <c r="X26" s="103"/>
      <c r="Y26" s="107"/>
      <c r="Z26" s="107"/>
      <c r="AA26" s="103"/>
      <c r="AB26" s="103"/>
      <c r="AC26" s="103"/>
      <c r="AD26" s="103"/>
      <c r="AE26" s="109"/>
      <c r="AF26" s="107"/>
      <c r="AG26" s="107"/>
      <c r="AH26" s="85" t="s">
        <v>182</v>
      </c>
      <c r="AI26" s="84">
        <f>_xlfn.LET(
    _xlpm._範囲, $C26:$AG26,
    _xlpm._交差日数,
        COUNTIF(_xlpm._範囲, "湖"),
    _xlpm._交差日数*7.45
)</f>
        <v>0</v>
      </c>
      <c r="AJ26" s="84">
        <v>1</v>
      </c>
      <c r="AK26" s="84"/>
    </row>
    <row r="27" spans="1:37" ht="19.149999999999999" customHeight="1">
      <c r="AH27" s="91" t="s">
        <v>183</v>
      </c>
      <c r="AI27" s="84" t="e" vm="2">
        <f>SUM(AI28:AI30)</f>
        <v>#VALUE!</v>
      </c>
    </row>
    <row r="28" spans="1:37" ht="19.149999999999999" customHeight="1">
      <c r="AH28" s="91" t="s">
        <v>184</v>
      </c>
      <c r="AI28" s="84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84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91" t="s">
        <v>179</v>
      </c>
      <c r="AI29" s="84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84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91" t="s">
        <v>185</v>
      </c>
      <c r="AI30" s="84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84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84" t="s">
        <v>186</v>
      </c>
      <c r="AK31" s="84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O13" sqref="O13"/>
    </sheetView>
  </sheetViews>
  <sheetFormatPr defaultRowHeight="19.149999999999999" customHeight="1"/>
  <cols>
    <col min="1" max="1" width="13.25" style="74" bestFit="1" customWidth="1"/>
    <col min="2" max="2" width="7.375" style="74" bestFit="1" customWidth="1"/>
    <col min="3" max="3" width="3.625" style="74" customWidth="1"/>
    <col min="4" max="4" width="16.5" style="74" bestFit="1" customWidth="1"/>
    <col min="5" max="10" width="3.625" style="74" customWidth="1"/>
    <col min="11" max="11" width="5.5" style="74" bestFit="1" customWidth="1"/>
    <col min="12" max="13" width="4" style="74" bestFit="1" customWidth="1"/>
    <col min="14" max="14" width="6.5" style="74" bestFit="1" customWidth="1"/>
    <col min="15" max="15" width="4" style="74" bestFit="1" customWidth="1"/>
    <col min="16" max="16" width="5.5" style="74" bestFit="1" customWidth="1"/>
    <col min="17" max="19" width="4" style="74" bestFit="1" customWidth="1"/>
    <col min="20" max="20" width="5.25" style="74" bestFit="1" customWidth="1"/>
    <col min="21" max="21" width="4" style="74" bestFit="1" customWidth="1"/>
    <col min="22" max="22" width="6.5" style="74" bestFit="1" customWidth="1"/>
    <col min="23" max="23" width="4" style="74" bestFit="1" customWidth="1"/>
    <col min="24" max="24" width="9" style="74" bestFit="1" customWidth="1"/>
    <col min="25" max="27" width="4" style="74" bestFit="1" customWidth="1"/>
    <col min="28" max="28" width="24.25" style="74" bestFit="1" customWidth="1"/>
    <col min="29" max="32" width="4" style="74" bestFit="1" customWidth="1"/>
    <col min="33" max="33" width="3.625" style="74" customWidth="1"/>
    <col min="34" max="34" width="13.25" style="74" bestFit="1" customWidth="1"/>
    <col min="35" max="35" width="13" style="74" bestFit="1" customWidth="1"/>
    <col min="36" max="36" width="11" style="74" bestFit="1" customWidth="1"/>
    <col min="37" max="37" width="8.125" style="74" bestFit="1" customWidth="1"/>
    <col min="38" max="38" width="3.625" style="74" customWidth="1"/>
    <col min="39" max="16384" width="9" style="74"/>
  </cols>
  <sheetData>
    <row r="1" spans="1:38" ht="19.149999999999999" customHeight="1" thickBot="1">
      <c r="A1" s="73">
        <v>46174</v>
      </c>
      <c r="AB1" s="75" t="s">
        <v>151</v>
      </c>
    </row>
    <row r="2" spans="1:38" ht="19.149999999999999" customHeight="1" thickBot="1">
      <c r="A2" s="76">
        <f>YEAR(A1)</f>
        <v>2026</v>
      </c>
      <c r="B2" s="77">
        <f>MONTH(A1)</f>
        <v>6</v>
      </c>
      <c r="D2" s="78" t="s">
        <v>152</v>
      </c>
      <c r="J2" s="75" t="s">
        <v>153</v>
      </c>
      <c r="K2" s="75" t="s">
        <v>154</v>
      </c>
      <c r="L2" s="79"/>
      <c r="N2" s="75" t="s">
        <v>155</v>
      </c>
      <c r="O2" s="75"/>
      <c r="P2" s="75" t="s">
        <v>156</v>
      </c>
      <c r="Q2" s="75"/>
      <c r="S2" s="75" t="s">
        <v>157</v>
      </c>
      <c r="T2" s="74" t="s">
        <v>158</v>
      </c>
      <c r="V2" s="80" t="s">
        <v>159</v>
      </c>
      <c r="W2" s="81"/>
      <c r="X2" s="82" t="s">
        <v>160</v>
      </c>
      <c r="Y2" s="81"/>
      <c r="Z2" s="83"/>
      <c r="AB2" s="75" t="s">
        <v>161</v>
      </c>
      <c r="AI2" s="84" t="s">
        <v>162</v>
      </c>
    </row>
    <row r="3" spans="1:38" ht="9.75" customHeight="1">
      <c r="AI3" s="84"/>
    </row>
    <row r="4" spans="1:38" ht="19.149999999999999" customHeight="1">
      <c r="A4" s="85"/>
      <c r="B4" s="85"/>
      <c r="C4" s="100">
        <f>DATEVALUE(A2&amp;"/"&amp;B2&amp;"/1")</f>
        <v>46174</v>
      </c>
      <c r="D4" s="100">
        <f>C4+1</f>
        <v>46175</v>
      </c>
      <c r="E4" s="100">
        <f t="shared" ref="E4:T5" si="0">D4+1</f>
        <v>46176</v>
      </c>
      <c r="F4" s="102">
        <f t="shared" si="0"/>
        <v>46177</v>
      </c>
      <c r="G4" s="102">
        <f t="shared" si="0"/>
        <v>46178</v>
      </c>
      <c r="H4" s="102">
        <f t="shared" si="0"/>
        <v>46179</v>
      </c>
      <c r="I4" s="101">
        <f t="shared" si="0"/>
        <v>46180</v>
      </c>
      <c r="J4" s="100">
        <f t="shared" si="0"/>
        <v>46181</v>
      </c>
      <c r="K4" s="100">
        <f t="shared" si="0"/>
        <v>46182</v>
      </c>
      <c r="L4" s="100">
        <f t="shared" si="0"/>
        <v>46183</v>
      </c>
      <c r="M4" s="100">
        <f t="shared" si="0"/>
        <v>46184</v>
      </c>
      <c r="N4" s="100">
        <f t="shared" si="0"/>
        <v>46185</v>
      </c>
      <c r="O4" s="101">
        <f t="shared" si="0"/>
        <v>46186</v>
      </c>
      <c r="P4" s="101">
        <f t="shared" si="0"/>
        <v>46187</v>
      </c>
      <c r="Q4" s="100">
        <f t="shared" si="0"/>
        <v>46188</v>
      </c>
      <c r="R4" s="100">
        <f t="shared" si="0"/>
        <v>46189</v>
      </c>
      <c r="S4" s="100">
        <f t="shared" si="0"/>
        <v>46190</v>
      </c>
      <c r="T4" s="100">
        <f t="shared" si="0"/>
        <v>46191</v>
      </c>
      <c r="U4" s="100">
        <f t="shared" ref="U4:AF5" si="1">T4+1</f>
        <v>46192</v>
      </c>
      <c r="V4" s="101">
        <f t="shared" si="1"/>
        <v>46193</v>
      </c>
      <c r="W4" s="101">
        <f t="shared" si="1"/>
        <v>46194</v>
      </c>
      <c r="X4" s="100">
        <f t="shared" si="1"/>
        <v>46195</v>
      </c>
      <c r="Y4" s="100">
        <f t="shared" si="1"/>
        <v>46196</v>
      </c>
      <c r="Z4" s="100">
        <f t="shared" si="1"/>
        <v>46197</v>
      </c>
      <c r="AA4" s="100">
        <f t="shared" si="1"/>
        <v>46198</v>
      </c>
      <c r="AB4" s="100">
        <f t="shared" si="1"/>
        <v>46199</v>
      </c>
      <c r="AC4" s="101">
        <f t="shared" si="1"/>
        <v>46200</v>
      </c>
      <c r="AD4" s="100">
        <f t="shared" si="1"/>
        <v>46201</v>
      </c>
      <c r="AE4" s="100">
        <f t="shared" si="1"/>
        <v>46202</v>
      </c>
      <c r="AF4" s="100">
        <f t="shared" si="1"/>
        <v>46203</v>
      </c>
      <c r="AG4" s="101"/>
      <c r="AH4" s="86"/>
      <c r="AI4" s="87">
        <v>21</v>
      </c>
      <c r="AL4" s="86"/>
    </row>
    <row r="5" spans="1:38" ht="19.149999999999999" customHeight="1">
      <c r="A5" s="85"/>
      <c r="B5" s="103" t="s">
        <v>163</v>
      </c>
      <c r="C5" s="104">
        <f>C4</f>
        <v>46174</v>
      </c>
      <c r="D5" s="104">
        <f>C5+1</f>
        <v>46175</v>
      </c>
      <c r="E5" s="104">
        <f t="shared" si="0"/>
        <v>46176</v>
      </c>
      <c r="F5" s="106">
        <f t="shared" si="0"/>
        <v>46177</v>
      </c>
      <c r="G5" s="106">
        <f t="shared" si="0"/>
        <v>46178</v>
      </c>
      <c r="H5" s="106">
        <f t="shared" si="0"/>
        <v>46179</v>
      </c>
      <c r="I5" s="105">
        <f t="shared" si="0"/>
        <v>46180</v>
      </c>
      <c r="J5" s="104">
        <f t="shared" si="0"/>
        <v>46181</v>
      </c>
      <c r="K5" s="104">
        <f t="shared" si="0"/>
        <v>46182</v>
      </c>
      <c r="L5" s="104">
        <f t="shared" si="0"/>
        <v>46183</v>
      </c>
      <c r="M5" s="104">
        <f t="shared" si="0"/>
        <v>46184</v>
      </c>
      <c r="N5" s="104">
        <f t="shared" si="0"/>
        <v>46185</v>
      </c>
      <c r="O5" s="105">
        <f t="shared" si="0"/>
        <v>46186</v>
      </c>
      <c r="P5" s="105">
        <f t="shared" si="0"/>
        <v>46187</v>
      </c>
      <c r="Q5" s="104">
        <f t="shared" si="0"/>
        <v>46188</v>
      </c>
      <c r="R5" s="104">
        <f t="shared" si="0"/>
        <v>46189</v>
      </c>
      <c r="S5" s="104">
        <f t="shared" si="0"/>
        <v>46190</v>
      </c>
      <c r="T5" s="104">
        <f t="shared" si="0"/>
        <v>46191</v>
      </c>
      <c r="U5" s="104">
        <f t="shared" si="1"/>
        <v>46192</v>
      </c>
      <c r="V5" s="105">
        <f t="shared" si="1"/>
        <v>46193</v>
      </c>
      <c r="W5" s="105">
        <f t="shared" si="1"/>
        <v>46194</v>
      </c>
      <c r="X5" s="104">
        <f t="shared" si="1"/>
        <v>46195</v>
      </c>
      <c r="Y5" s="104">
        <f t="shared" si="1"/>
        <v>46196</v>
      </c>
      <c r="Z5" s="104">
        <f t="shared" si="1"/>
        <v>46197</v>
      </c>
      <c r="AA5" s="104">
        <f t="shared" si="1"/>
        <v>46198</v>
      </c>
      <c r="AB5" s="104">
        <f t="shared" si="1"/>
        <v>46199</v>
      </c>
      <c r="AC5" s="105">
        <f t="shared" si="1"/>
        <v>46200</v>
      </c>
      <c r="AD5" s="104">
        <f t="shared" si="1"/>
        <v>46201</v>
      </c>
      <c r="AE5" s="104">
        <f t="shared" si="1"/>
        <v>46202</v>
      </c>
      <c r="AF5" s="104">
        <f t="shared" si="1"/>
        <v>46203</v>
      </c>
      <c r="AG5" s="105"/>
      <c r="AH5" s="88"/>
      <c r="AI5" s="89" t="s">
        <v>164</v>
      </c>
      <c r="AJ5" s="84" t="s">
        <v>165</v>
      </c>
      <c r="AK5" s="84" t="s">
        <v>166</v>
      </c>
      <c r="AL5" s="88"/>
    </row>
    <row r="6" spans="1:38" ht="19.149999999999999" customHeight="1">
      <c r="A6" s="85" t="s">
        <v>167</v>
      </c>
      <c r="B6" s="103"/>
      <c r="C6" s="103"/>
      <c r="D6" s="103"/>
      <c r="E6" s="103"/>
      <c r="F6" s="108"/>
      <c r="G6" s="108"/>
      <c r="H6" s="108"/>
      <c r="I6" s="107"/>
      <c r="J6" s="103"/>
      <c r="K6" s="103"/>
      <c r="L6" s="103"/>
      <c r="M6" s="103"/>
      <c r="N6" s="103"/>
      <c r="O6" s="107"/>
      <c r="P6" s="107"/>
      <c r="Q6" s="103"/>
      <c r="R6" s="103"/>
      <c r="S6" s="103"/>
      <c r="T6" s="103"/>
      <c r="U6" s="103"/>
      <c r="V6" s="107"/>
      <c r="W6" s="107"/>
      <c r="X6" s="103"/>
      <c r="Y6" s="103"/>
      <c r="Z6" s="103"/>
      <c r="AA6" s="103"/>
      <c r="AB6" s="103"/>
      <c r="AC6" s="107"/>
      <c r="AD6" s="103"/>
      <c r="AE6" s="109"/>
      <c r="AF6" s="103"/>
      <c r="AG6" s="107"/>
      <c r="AH6" s="85" t="s">
        <v>167</v>
      </c>
      <c r="AI6" s="9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84">
        <v>0</v>
      </c>
      <c r="AK6" s="84"/>
    </row>
    <row r="7" spans="1:38" ht="19.149999999999999" customHeight="1">
      <c r="A7" s="85"/>
      <c r="B7" s="103"/>
      <c r="C7" s="103"/>
      <c r="D7" s="103"/>
      <c r="E7" s="103"/>
      <c r="F7" s="108"/>
      <c r="G7" s="108"/>
      <c r="H7" s="108"/>
      <c r="I7" s="107"/>
      <c r="J7" s="103"/>
      <c r="K7" s="103"/>
      <c r="L7" s="103"/>
      <c r="M7" s="103"/>
      <c r="N7" s="103"/>
      <c r="O7" s="107"/>
      <c r="P7" s="107"/>
      <c r="Q7" s="103"/>
      <c r="R7" s="103"/>
      <c r="S7" s="103"/>
      <c r="T7" s="103"/>
      <c r="U7" s="103"/>
      <c r="V7" s="107"/>
      <c r="W7" s="107"/>
      <c r="X7" s="103"/>
      <c r="Y7" s="103"/>
      <c r="Z7" s="103"/>
      <c r="AA7" s="103"/>
      <c r="AB7" s="103"/>
      <c r="AC7" s="107"/>
      <c r="AD7" s="103"/>
      <c r="AE7" s="109"/>
      <c r="AF7" s="103"/>
      <c r="AG7" s="107"/>
      <c r="AH7" s="85"/>
      <c r="AI7" s="9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84"/>
      <c r="AK7" s="84"/>
    </row>
    <row r="8" spans="1:38" ht="19.149999999999999" customHeight="1">
      <c r="A8" s="85" t="s">
        <v>168</v>
      </c>
      <c r="B8" s="103"/>
      <c r="C8" s="103"/>
      <c r="D8" s="103"/>
      <c r="E8" s="103"/>
      <c r="F8" s="108"/>
      <c r="G8" s="108"/>
      <c r="H8" s="108"/>
      <c r="I8" s="107"/>
      <c r="J8" s="103"/>
      <c r="K8" s="103"/>
      <c r="L8" s="103"/>
      <c r="M8" s="103"/>
      <c r="N8" s="103"/>
      <c r="O8" s="107"/>
      <c r="P8" s="107"/>
      <c r="Q8" s="103"/>
      <c r="R8" s="103"/>
      <c r="S8" s="103"/>
      <c r="T8" s="103"/>
      <c r="U8" s="103"/>
      <c r="V8" s="107"/>
      <c r="W8" s="107"/>
      <c r="X8" s="103"/>
      <c r="Y8" s="103"/>
      <c r="Z8" s="103"/>
      <c r="AA8" s="103"/>
      <c r="AB8" s="103"/>
      <c r="AC8" s="107"/>
      <c r="AD8" s="103"/>
      <c r="AE8" s="109"/>
      <c r="AF8" s="103"/>
      <c r="AG8" s="107"/>
      <c r="AH8" s="85" t="s">
        <v>115</v>
      </c>
      <c r="AI8" s="90">
        <f t="shared" si="2"/>
        <v>156.45000000000002</v>
      </c>
      <c r="AJ8" s="84">
        <v>0</v>
      </c>
      <c r="AK8" s="90" t="e" vm="1">
        <v>#VALUE!</v>
      </c>
    </row>
    <row r="9" spans="1:38" ht="19.149999999999999" customHeight="1">
      <c r="A9" s="85" t="s">
        <v>116</v>
      </c>
      <c r="B9" s="103"/>
      <c r="C9" s="103"/>
      <c r="D9" s="103"/>
      <c r="E9" s="103"/>
      <c r="F9" s="108"/>
      <c r="G9" s="108"/>
      <c r="H9" s="108"/>
      <c r="I9" s="107"/>
      <c r="J9" s="103"/>
      <c r="K9" s="103"/>
      <c r="L9" s="103"/>
      <c r="M9" s="103"/>
      <c r="N9" s="103"/>
      <c r="O9" s="107"/>
      <c r="P9" s="107"/>
      <c r="Q9" s="103"/>
      <c r="R9" s="103"/>
      <c r="S9" s="103"/>
      <c r="T9" s="103"/>
      <c r="U9" s="103"/>
      <c r="V9" s="107"/>
      <c r="W9" s="107"/>
      <c r="X9" s="103"/>
      <c r="Y9" s="103"/>
      <c r="Z9" s="103"/>
      <c r="AA9" s="103"/>
      <c r="AB9" s="103"/>
      <c r="AC9" s="107"/>
      <c r="AD9" s="103"/>
      <c r="AE9" s="109"/>
      <c r="AF9" s="103"/>
      <c r="AG9" s="107"/>
      <c r="AH9" s="85" t="s">
        <v>118</v>
      </c>
      <c r="AI9" s="90">
        <f t="shared" si="2"/>
        <v>156.45000000000002</v>
      </c>
      <c r="AJ9" s="84">
        <v>0</v>
      </c>
      <c r="AK9" s="90" t="e" vm="1">
        <v>#VALUE!</v>
      </c>
    </row>
    <row r="10" spans="1:38" ht="19.149999999999999" customHeight="1">
      <c r="A10" s="85"/>
      <c r="B10" s="103"/>
      <c r="C10" s="103"/>
      <c r="D10" s="103"/>
      <c r="E10" s="103"/>
      <c r="F10" s="108"/>
      <c r="G10" s="108"/>
      <c r="H10" s="108"/>
      <c r="I10" s="107"/>
      <c r="J10" s="103"/>
      <c r="K10" s="103"/>
      <c r="L10" s="103"/>
      <c r="M10" s="103"/>
      <c r="N10" s="103"/>
      <c r="O10" s="107"/>
      <c r="P10" s="107"/>
      <c r="Q10" s="103"/>
      <c r="R10" s="103"/>
      <c r="S10" s="103"/>
      <c r="T10" s="103"/>
      <c r="U10" s="103"/>
      <c r="V10" s="107"/>
      <c r="W10" s="107"/>
      <c r="X10" s="103"/>
      <c r="Y10" s="103"/>
      <c r="Z10" s="103"/>
      <c r="AA10" s="103"/>
      <c r="AB10" s="103"/>
      <c r="AC10" s="107"/>
      <c r="AD10" s="103"/>
      <c r="AE10" s="109"/>
      <c r="AF10" s="103"/>
      <c r="AG10" s="107"/>
      <c r="AH10" s="85"/>
      <c r="AI10" s="90"/>
      <c r="AJ10" s="84"/>
      <c r="AK10" s="90"/>
    </row>
    <row r="11" spans="1:38" ht="19.149999999999999" customHeight="1">
      <c r="A11" s="85" t="s">
        <v>171</v>
      </c>
      <c r="B11" s="103" t="s">
        <v>172</v>
      </c>
      <c r="C11" s="103"/>
      <c r="D11" s="103"/>
      <c r="E11" s="103"/>
      <c r="F11" s="108"/>
      <c r="G11" s="108"/>
      <c r="H11" s="108"/>
      <c r="I11" s="107"/>
      <c r="J11" s="103"/>
      <c r="K11" s="103"/>
      <c r="L11" s="103"/>
      <c r="M11" s="103"/>
      <c r="N11" s="103"/>
      <c r="O11" s="107"/>
      <c r="P11" s="107"/>
      <c r="Q11" s="103"/>
      <c r="R11" s="103"/>
      <c r="S11" s="103"/>
      <c r="T11" s="103"/>
      <c r="U11" s="103"/>
      <c r="V11" s="107"/>
      <c r="W11" s="107"/>
      <c r="X11" s="103"/>
      <c r="Y11" s="103"/>
      <c r="Z11" s="103"/>
      <c r="AA11" s="103"/>
      <c r="AB11" s="103"/>
      <c r="AC11" s="107"/>
      <c r="AD11" s="103"/>
      <c r="AE11" s="109"/>
      <c r="AF11" s="103"/>
      <c r="AG11" s="107"/>
      <c r="AH11" s="85" t="s">
        <v>119</v>
      </c>
      <c r="AI11" s="9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84">
        <v>1</v>
      </c>
      <c r="AK11" s="90" t="e" vm="1">
        <v>#VALUE!</v>
      </c>
    </row>
    <row r="12" spans="1:38" ht="19.149999999999999" customHeight="1">
      <c r="A12" s="85" t="s">
        <v>108</v>
      </c>
      <c r="B12" s="103" t="s">
        <v>172</v>
      </c>
      <c r="C12" s="103"/>
      <c r="D12" s="103"/>
      <c r="E12" s="103"/>
      <c r="F12" s="108"/>
      <c r="G12" s="108"/>
      <c r="H12" s="108"/>
      <c r="I12" s="107"/>
      <c r="J12" s="103"/>
      <c r="K12" s="103"/>
      <c r="L12" s="103"/>
      <c r="M12" s="103"/>
      <c r="N12" s="103"/>
      <c r="O12" s="107"/>
      <c r="P12" s="107"/>
      <c r="Q12" s="103"/>
      <c r="R12" s="103"/>
      <c r="S12" s="103"/>
      <c r="T12" s="103"/>
      <c r="U12" s="103"/>
      <c r="V12" s="107"/>
      <c r="W12" s="107"/>
      <c r="X12" s="103"/>
      <c r="Y12" s="103"/>
      <c r="Z12" s="103"/>
      <c r="AA12" s="103"/>
      <c r="AB12" s="103"/>
      <c r="AC12" s="107"/>
      <c r="AD12" s="103"/>
      <c r="AE12" s="109"/>
      <c r="AF12" s="103"/>
      <c r="AG12" s="107"/>
      <c r="AH12" s="85" t="s">
        <v>108</v>
      </c>
      <c r="AI12" s="90">
        <f t="shared" si="3"/>
        <v>156.45000000000002</v>
      </c>
      <c r="AJ12" s="84">
        <v>1</v>
      </c>
      <c r="AK12" s="90" t="e" vm="1">
        <v>#VALUE!</v>
      </c>
    </row>
    <row r="13" spans="1:38" ht="19.149999999999999" customHeight="1">
      <c r="A13" s="85" t="s">
        <v>110</v>
      </c>
      <c r="B13" s="103" t="s">
        <v>172</v>
      </c>
      <c r="C13" s="103"/>
      <c r="D13" s="103"/>
      <c r="E13" s="103"/>
      <c r="F13" s="108"/>
      <c r="G13" s="108"/>
      <c r="H13" s="108"/>
      <c r="I13" s="107"/>
      <c r="J13" s="103"/>
      <c r="K13" s="103"/>
      <c r="L13" s="103"/>
      <c r="M13" s="103"/>
      <c r="N13" s="103"/>
      <c r="O13" s="107"/>
      <c r="P13" s="107"/>
      <c r="Q13" s="103"/>
      <c r="R13" s="103"/>
      <c r="S13" s="103"/>
      <c r="T13" s="103"/>
      <c r="U13" s="103"/>
      <c r="V13" s="107"/>
      <c r="W13" s="107"/>
      <c r="X13" s="103"/>
      <c r="Y13" s="103"/>
      <c r="Z13" s="103"/>
      <c r="AA13" s="103"/>
      <c r="AB13" s="103"/>
      <c r="AC13" s="107"/>
      <c r="AD13" s="103"/>
      <c r="AE13" s="109"/>
      <c r="AF13" s="103"/>
      <c r="AG13" s="107"/>
      <c r="AH13" s="85" t="s">
        <v>110</v>
      </c>
      <c r="AI13" s="90">
        <f t="shared" si="3"/>
        <v>156.45000000000002</v>
      </c>
      <c r="AJ13" s="84">
        <v>1</v>
      </c>
      <c r="AK13" s="90" t="e" vm="1">
        <v>#VALUE!</v>
      </c>
    </row>
    <row r="14" spans="1:38" ht="19.149999999999999" customHeight="1">
      <c r="A14" s="85"/>
      <c r="B14" s="103"/>
      <c r="C14" s="103"/>
      <c r="D14" s="103"/>
      <c r="E14" s="103"/>
      <c r="F14" s="108"/>
      <c r="G14" s="108"/>
      <c r="H14" s="108"/>
      <c r="I14" s="107"/>
      <c r="J14" s="103"/>
      <c r="K14" s="103"/>
      <c r="L14" s="103"/>
      <c r="M14" s="103"/>
      <c r="N14" s="103"/>
      <c r="O14" s="107"/>
      <c r="P14" s="107"/>
      <c r="Q14" s="103"/>
      <c r="R14" s="103"/>
      <c r="S14" s="103"/>
      <c r="T14" s="103"/>
      <c r="U14" s="103"/>
      <c r="V14" s="107"/>
      <c r="W14" s="107"/>
      <c r="X14" s="103"/>
      <c r="Y14" s="103"/>
      <c r="Z14" s="103"/>
      <c r="AA14" s="103"/>
      <c r="AB14" s="103"/>
      <c r="AC14" s="107"/>
      <c r="AD14" s="103"/>
      <c r="AE14" s="109"/>
      <c r="AF14" s="103"/>
      <c r="AG14" s="107"/>
      <c r="AH14" s="85"/>
      <c r="AI14" s="90"/>
      <c r="AJ14" s="84"/>
      <c r="AK14" s="90" t="e" vm="1">
        <v>#VALUE!</v>
      </c>
    </row>
    <row r="15" spans="1:38" ht="19.149999999999999" customHeight="1">
      <c r="A15" s="85" t="s">
        <v>174</v>
      </c>
      <c r="B15" s="103" t="s">
        <v>172</v>
      </c>
      <c r="C15" s="103"/>
      <c r="D15" s="103"/>
      <c r="E15" s="103"/>
      <c r="F15" s="108"/>
      <c r="G15" s="108"/>
      <c r="H15" s="108"/>
      <c r="I15" s="107"/>
      <c r="J15" s="103"/>
      <c r="K15" s="103"/>
      <c r="L15" s="103"/>
      <c r="M15" s="103"/>
      <c r="N15" s="103"/>
      <c r="O15" s="107"/>
      <c r="P15" s="107"/>
      <c r="Q15" s="103"/>
      <c r="R15" s="103"/>
      <c r="S15" s="103"/>
      <c r="T15" s="103"/>
      <c r="U15" s="103"/>
      <c r="V15" s="107"/>
      <c r="W15" s="107"/>
      <c r="X15" s="103"/>
      <c r="Y15" s="103"/>
      <c r="Z15" s="103"/>
      <c r="AA15" s="103"/>
      <c r="AB15" s="103"/>
      <c r="AC15" s="107"/>
      <c r="AD15" s="103"/>
      <c r="AE15" s="109"/>
      <c r="AF15" s="103"/>
      <c r="AG15" s="107"/>
      <c r="AH15" s="85" t="s">
        <v>174</v>
      </c>
      <c r="AI15" s="9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84">
        <v>1</v>
      </c>
      <c r="AK15" s="90" t="e" vm="1">
        <v>#VALUE!</v>
      </c>
    </row>
    <row r="16" spans="1:38" ht="19.149999999999999" customHeight="1">
      <c r="A16" s="85" t="s">
        <v>175</v>
      </c>
      <c r="B16" s="103" t="s">
        <v>172</v>
      </c>
      <c r="C16" s="103"/>
      <c r="D16" s="103"/>
      <c r="E16" s="103"/>
      <c r="F16" s="108"/>
      <c r="G16" s="108"/>
      <c r="H16" s="108"/>
      <c r="I16" s="107"/>
      <c r="J16" s="103"/>
      <c r="K16" s="103"/>
      <c r="L16" s="103"/>
      <c r="M16" s="103"/>
      <c r="N16" s="103"/>
      <c r="O16" s="107"/>
      <c r="P16" s="107"/>
      <c r="Q16" s="103"/>
      <c r="R16" s="103"/>
      <c r="S16" s="103"/>
      <c r="T16" s="103"/>
      <c r="U16" s="103"/>
      <c r="V16" s="107"/>
      <c r="W16" s="107"/>
      <c r="X16" s="103"/>
      <c r="Y16" s="103"/>
      <c r="Z16" s="103"/>
      <c r="AA16" s="103"/>
      <c r="AB16" s="103"/>
      <c r="AC16" s="107"/>
      <c r="AD16" s="103"/>
      <c r="AE16" s="109"/>
      <c r="AF16" s="103"/>
      <c r="AG16" s="107"/>
      <c r="AH16" s="85" t="s">
        <v>175</v>
      </c>
      <c r="AI16" s="90">
        <f t="shared" si="4"/>
        <v>156.45000000000002</v>
      </c>
      <c r="AJ16" s="84">
        <v>1</v>
      </c>
      <c r="AK16" s="90" t="e" vm="1">
        <v>#VALUE!</v>
      </c>
    </row>
    <row r="17" spans="1:37" ht="19.149999999999999" customHeight="1">
      <c r="A17" s="85" t="s">
        <v>113</v>
      </c>
      <c r="B17" s="103" t="s">
        <v>172</v>
      </c>
      <c r="C17" s="103"/>
      <c r="D17" s="103"/>
      <c r="E17" s="103"/>
      <c r="F17" s="108"/>
      <c r="G17" s="108"/>
      <c r="H17" s="108"/>
      <c r="I17" s="107"/>
      <c r="J17" s="103"/>
      <c r="K17" s="103"/>
      <c r="L17" s="103"/>
      <c r="M17" s="103"/>
      <c r="N17" s="103"/>
      <c r="O17" s="107"/>
      <c r="P17" s="107"/>
      <c r="Q17" s="103"/>
      <c r="R17" s="103"/>
      <c r="S17" s="103"/>
      <c r="T17" s="103"/>
      <c r="U17" s="103"/>
      <c r="V17" s="107"/>
      <c r="W17" s="107"/>
      <c r="X17" s="103"/>
      <c r="Y17" s="103"/>
      <c r="Z17" s="103"/>
      <c r="AA17" s="103"/>
      <c r="AB17" s="103"/>
      <c r="AC17" s="107"/>
      <c r="AD17" s="103"/>
      <c r="AE17" s="109"/>
      <c r="AF17" s="103"/>
      <c r="AG17" s="107"/>
      <c r="AH17" s="85" t="s">
        <v>113</v>
      </c>
      <c r="AI17" s="90">
        <f t="shared" si="4"/>
        <v>156.45000000000002</v>
      </c>
      <c r="AJ17" s="84">
        <v>1</v>
      </c>
      <c r="AK17" s="90" t="e" vm="1">
        <v>#VALUE!</v>
      </c>
    </row>
    <row r="18" spans="1:37" ht="19.149999999999999" customHeight="1">
      <c r="A18" s="85"/>
      <c r="B18" s="103"/>
      <c r="C18" s="103"/>
      <c r="D18" s="103"/>
      <c r="E18" s="103"/>
      <c r="F18" s="108"/>
      <c r="G18" s="108"/>
      <c r="H18" s="108"/>
      <c r="I18" s="107"/>
      <c r="J18" s="103"/>
      <c r="K18" s="103"/>
      <c r="L18" s="103"/>
      <c r="M18" s="103"/>
      <c r="N18" s="103"/>
      <c r="O18" s="107"/>
      <c r="P18" s="107"/>
      <c r="Q18" s="103"/>
      <c r="R18" s="103"/>
      <c r="S18" s="103"/>
      <c r="T18" s="103"/>
      <c r="U18" s="103"/>
      <c r="V18" s="107"/>
      <c r="W18" s="107"/>
      <c r="X18" s="103"/>
      <c r="Y18" s="103"/>
      <c r="Z18" s="103"/>
      <c r="AA18" s="103"/>
      <c r="AB18" s="103"/>
      <c r="AC18" s="107"/>
      <c r="AD18" s="103"/>
      <c r="AE18" s="109"/>
      <c r="AF18" s="103"/>
      <c r="AG18" s="107"/>
      <c r="AH18" s="85"/>
      <c r="AI18" s="90"/>
      <c r="AJ18" s="84"/>
      <c r="AK18" s="90"/>
    </row>
    <row r="19" spans="1:37" ht="19.149999999999999" customHeight="1">
      <c r="A19" s="85" t="s">
        <v>178</v>
      </c>
      <c r="B19" s="103" t="s">
        <v>179</v>
      </c>
      <c r="C19" s="103"/>
      <c r="D19" s="103"/>
      <c r="E19" s="103"/>
      <c r="F19" s="108"/>
      <c r="G19" s="108"/>
      <c r="H19" s="108"/>
      <c r="I19" s="107"/>
      <c r="J19" s="103"/>
      <c r="K19" s="103"/>
      <c r="L19" s="103"/>
      <c r="M19" s="103"/>
      <c r="N19" s="103"/>
      <c r="O19" s="107"/>
      <c r="P19" s="107"/>
      <c r="Q19" s="103"/>
      <c r="R19" s="103"/>
      <c r="S19" s="103"/>
      <c r="T19" s="103"/>
      <c r="U19" s="103"/>
      <c r="V19" s="107"/>
      <c r="W19" s="107"/>
      <c r="X19" s="103"/>
      <c r="Y19" s="103"/>
      <c r="Z19" s="103"/>
      <c r="AA19" s="103"/>
      <c r="AB19" s="103"/>
      <c r="AC19" s="107"/>
      <c r="AD19" s="103"/>
      <c r="AE19" s="109"/>
      <c r="AF19" s="103"/>
      <c r="AG19" s="107"/>
      <c r="AH19" s="85" t="s">
        <v>178</v>
      </c>
      <c r="AI19" s="9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84">
        <v>2</v>
      </c>
      <c r="AK19" s="90" t="e" vm="1">
        <v>#VALUE!</v>
      </c>
    </row>
    <row r="20" spans="1:37" ht="19.149999999999999" customHeight="1">
      <c r="A20" s="85" t="s">
        <v>121</v>
      </c>
      <c r="B20" s="103" t="s">
        <v>179</v>
      </c>
      <c r="C20" s="103"/>
      <c r="D20" s="103"/>
      <c r="E20" s="103"/>
      <c r="F20" s="108"/>
      <c r="G20" s="108"/>
      <c r="H20" s="108"/>
      <c r="I20" s="107"/>
      <c r="J20" s="103"/>
      <c r="K20" s="103"/>
      <c r="L20" s="103"/>
      <c r="M20" s="103"/>
      <c r="N20" s="103"/>
      <c r="O20" s="107"/>
      <c r="P20" s="107"/>
      <c r="Q20" s="103"/>
      <c r="R20" s="103"/>
      <c r="S20" s="103"/>
      <c r="T20" s="103"/>
      <c r="U20" s="103"/>
      <c r="V20" s="107"/>
      <c r="W20" s="107"/>
      <c r="X20" s="103"/>
      <c r="Y20" s="103"/>
      <c r="Z20" s="103"/>
      <c r="AA20" s="103"/>
      <c r="AB20" s="103"/>
      <c r="AC20" s="107"/>
      <c r="AD20" s="103"/>
      <c r="AE20" s="109"/>
      <c r="AF20" s="103"/>
      <c r="AG20" s="107"/>
      <c r="AH20" s="85" t="s">
        <v>121</v>
      </c>
      <c r="AI20" s="90">
        <f t="shared" si="5"/>
        <v>156.45000000000002</v>
      </c>
      <c r="AJ20" s="84">
        <v>2</v>
      </c>
      <c r="AK20" s="90" t="e" vm="1">
        <v>#VALUE!</v>
      </c>
    </row>
    <row r="21" spans="1:37" ht="19.149999999999999" customHeight="1">
      <c r="A21" s="85" t="s">
        <v>180</v>
      </c>
      <c r="B21" s="103" t="s">
        <v>179</v>
      </c>
      <c r="C21" s="103"/>
      <c r="D21" s="103"/>
      <c r="E21" s="103"/>
      <c r="F21" s="108"/>
      <c r="G21" s="108"/>
      <c r="H21" s="108"/>
      <c r="I21" s="107"/>
      <c r="J21" s="103"/>
      <c r="K21" s="103"/>
      <c r="L21" s="103"/>
      <c r="M21" s="103"/>
      <c r="N21" s="103"/>
      <c r="O21" s="107"/>
      <c r="P21" s="107"/>
      <c r="Q21" s="103"/>
      <c r="R21" s="103"/>
      <c r="S21" s="103"/>
      <c r="T21" s="103"/>
      <c r="U21" s="103"/>
      <c r="V21" s="107"/>
      <c r="W21" s="107"/>
      <c r="X21" s="103"/>
      <c r="Y21" s="103"/>
      <c r="Z21" s="103"/>
      <c r="AA21" s="103"/>
      <c r="AB21" s="103"/>
      <c r="AC21" s="107"/>
      <c r="AD21" s="103"/>
      <c r="AE21" s="109"/>
      <c r="AF21" s="103"/>
      <c r="AG21" s="107"/>
      <c r="AH21" s="85" t="s">
        <v>122</v>
      </c>
      <c r="AI21" s="90">
        <f t="shared" si="5"/>
        <v>156.45000000000002</v>
      </c>
      <c r="AJ21" s="84">
        <v>2</v>
      </c>
      <c r="AK21" s="90" t="e" vm="1">
        <v>#VALUE!</v>
      </c>
    </row>
    <row r="22" spans="1:37" ht="19.149999999999999" customHeight="1">
      <c r="A22" s="85" t="s">
        <v>123</v>
      </c>
      <c r="B22" s="103" t="s">
        <v>179</v>
      </c>
      <c r="C22" s="103"/>
      <c r="D22" s="103"/>
      <c r="E22" s="103"/>
      <c r="F22" s="108"/>
      <c r="G22" s="108"/>
      <c r="H22" s="108"/>
      <c r="I22" s="107"/>
      <c r="J22" s="103"/>
      <c r="K22" s="103"/>
      <c r="L22" s="103"/>
      <c r="M22" s="103"/>
      <c r="N22" s="103"/>
      <c r="O22" s="107"/>
      <c r="P22" s="107"/>
      <c r="Q22" s="103"/>
      <c r="R22" s="103"/>
      <c r="S22" s="103"/>
      <c r="T22" s="103"/>
      <c r="U22" s="103"/>
      <c r="V22" s="107"/>
      <c r="W22" s="107"/>
      <c r="X22" s="103"/>
      <c r="Y22" s="103"/>
      <c r="Z22" s="103"/>
      <c r="AA22" s="103"/>
      <c r="AB22" s="103"/>
      <c r="AC22" s="107"/>
      <c r="AD22" s="103"/>
      <c r="AE22" s="109"/>
      <c r="AF22" s="103"/>
      <c r="AG22" s="107"/>
      <c r="AH22" s="85" t="s">
        <v>123</v>
      </c>
      <c r="AI22" s="90">
        <f t="shared" si="5"/>
        <v>156.45000000000002</v>
      </c>
      <c r="AJ22" s="84">
        <v>2</v>
      </c>
      <c r="AK22" s="90" t="e" vm="1">
        <v>#VALUE!</v>
      </c>
    </row>
    <row r="23" spans="1:37" ht="19.149999999999999" customHeight="1">
      <c r="A23" s="85" t="s">
        <v>181</v>
      </c>
      <c r="B23" s="103" t="s">
        <v>179</v>
      </c>
      <c r="C23" s="103"/>
      <c r="D23" s="103"/>
      <c r="E23" s="103"/>
      <c r="F23" s="108"/>
      <c r="G23" s="108"/>
      <c r="H23" s="108"/>
      <c r="I23" s="107"/>
      <c r="J23" s="103"/>
      <c r="K23" s="103"/>
      <c r="L23" s="103"/>
      <c r="M23" s="103"/>
      <c r="N23" s="103"/>
      <c r="O23" s="107"/>
      <c r="P23" s="107"/>
      <c r="Q23" s="103"/>
      <c r="R23" s="103"/>
      <c r="S23" s="103"/>
      <c r="T23" s="103"/>
      <c r="U23" s="103"/>
      <c r="V23" s="107"/>
      <c r="W23" s="107"/>
      <c r="X23" s="103"/>
      <c r="Y23" s="103"/>
      <c r="Z23" s="103"/>
      <c r="AA23" s="103"/>
      <c r="AB23" s="103"/>
      <c r="AC23" s="107"/>
      <c r="AD23" s="103"/>
      <c r="AE23" s="109"/>
      <c r="AF23" s="103"/>
      <c r="AG23" s="107"/>
      <c r="AH23" s="85" t="s">
        <v>181</v>
      </c>
      <c r="AI23" s="90">
        <f t="shared" si="5"/>
        <v>156.45000000000002</v>
      </c>
      <c r="AJ23" s="84">
        <v>2</v>
      </c>
      <c r="AK23" s="90" t="e" vm="1">
        <v>#VALUE!</v>
      </c>
    </row>
    <row r="24" spans="1:37" ht="19.149999999999999" customHeight="1">
      <c r="A24" s="84"/>
      <c r="B24" s="84"/>
      <c r="C24" s="103"/>
      <c r="D24" s="103"/>
      <c r="E24" s="103"/>
      <c r="F24" s="108"/>
      <c r="G24" s="108"/>
      <c r="H24" s="108"/>
      <c r="I24" s="107"/>
      <c r="J24" s="103"/>
      <c r="K24" s="103"/>
      <c r="L24" s="103"/>
      <c r="M24" s="103"/>
      <c r="N24" s="103"/>
      <c r="O24" s="107"/>
      <c r="P24" s="107"/>
      <c r="Q24" s="103"/>
      <c r="R24" s="103"/>
      <c r="S24" s="103"/>
      <c r="T24" s="103"/>
      <c r="U24" s="103"/>
      <c r="V24" s="107"/>
      <c r="W24" s="107"/>
      <c r="X24" s="103"/>
      <c r="Y24" s="103"/>
      <c r="Z24" s="103"/>
      <c r="AA24" s="103"/>
      <c r="AB24" s="103"/>
      <c r="AC24" s="107"/>
      <c r="AD24" s="103"/>
      <c r="AE24" s="109"/>
      <c r="AF24" s="103"/>
      <c r="AG24" s="107"/>
      <c r="AH24" s="84"/>
      <c r="AI24" s="84"/>
      <c r="AJ24" s="84"/>
      <c r="AK24" s="84"/>
    </row>
    <row r="25" spans="1:37" ht="19.149999999999999" customHeight="1">
      <c r="A25" s="85"/>
      <c r="B25" s="103"/>
      <c r="C25" s="103"/>
      <c r="D25" s="103"/>
      <c r="E25" s="103"/>
      <c r="F25" s="108"/>
      <c r="G25" s="108"/>
      <c r="H25" s="108"/>
      <c r="I25" s="107"/>
      <c r="J25" s="103"/>
      <c r="K25" s="103"/>
      <c r="L25" s="103"/>
      <c r="M25" s="103"/>
      <c r="N25" s="103"/>
      <c r="O25" s="107"/>
      <c r="P25" s="107"/>
      <c r="Q25" s="103"/>
      <c r="R25" s="103"/>
      <c r="S25" s="103"/>
      <c r="T25" s="103"/>
      <c r="U25" s="103"/>
      <c r="V25" s="107"/>
      <c r="W25" s="107"/>
      <c r="X25" s="103"/>
      <c r="Y25" s="103"/>
      <c r="Z25" s="103"/>
      <c r="AA25" s="103"/>
      <c r="AB25" s="103"/>
      <c r="AC25" s="107"/>
      <c r="AD25" s="103"/>
      <c r="AE25" s="109"/>
      <c r="AF25" s="103"/>
      <c r="AG25" s="107"/>
      <c r="AH25" s="85"/>
      <c r="AI25" s="84">
        <f>_xlfn.LET(
    _xlpm._範囲, $C25:$AG25,
    _xlpm._交差日数,
        COUNTIF(_xlpm._範囲, "湖"),
    _xlpm._交差日数*7.45
)</f>
        <v>0</v>
      </c>
      <c r="AJ25" s="84">
        <v>1</v>
      </c>
      <c r="AK25" s="84"/>
    </row>
    <row r="26" spans="1:37" ht="19.149999999999999" customHeight="1">
      <c r="A26" s="85" t="s">
        <v>182</v>
      </c>
      <c r="B26" s="103" t="s">
        <v>156</v>
      </c>
      <c r="C26" s="103"/>
      <c r="D26" s="103"/>
      <c r="E26" s="103"/>
      <c r="F26" s="108"/>
      <c r="G26" s="108"/>
      <c r="H26" s="108"/>
      <c r="I26" s="107"/>
      <c r="J26" s="103"/>
      <c r="K26" s="103"/>
      <c r="L26" s="103"/>
      <c r="M26" s="103"/>
      <c r="N26" s="103"/>
      <c r="O26" s="107"/>
      <c r="P26" s="107"/>
      <c r="Q26" s="103"/>
      <c r="R26" s="103"/>
      <c r="S26" s="103"/>
      <c r="T26" s="103"/>
      <c r="U26" s="103"/>
      <c r="V26" s="107"/>
      <c r="W26" s="107"/>
      <c r="X26" s="103"/>
      <c r="Y26" s="103"/>
      <c r="Z26" s="103"/>
      <c r="AA26" s="103"/>
      <c r="AB26" s="103"/>
      <c r="AC26" s="107"/>
      <c r="AD26" s="103"/>
      <c r="AE26" s="109"/>
      <c r="AF26" s="103"/>
      <c r="AG26" s="107"/>
      <c r="AH26" s="85" t="s">
        <v>182</v>
      </c>
      <c r="AI26" s="84">
        <f>_xlfn.LET(
    _xlpm._範囲, $C26:$AG26,
    _xlpm._交差日数,
        COUNTIF(_xlpm._範囲, "湖"),
    _xlpm._交差日数*7.45
)</f>
        <v>0</v>
      </c>
      <c r="AJ26" s="84">
        <v>1</v>
      </c>
      <c r="AK26" s="84"/>
    </row>
    <row r="27" spans="1:37" ht="19.149999999999999" customHeight="1">
      <c r="AH27" s="91" t="s">
        <v>183</v>
      </c>
      <c r="AI27" s="84" t="e" vm="2">
        <f>SUM(AI28:AI30)</f>
        <v>#VALUE!</v>
      </c>
    </row>
    <row r="28" spans="1:37" ht="19.149999999999999" customHeight="1">
      <c r="AH28" s="91" t="s">
        <v>184</v>
      </c>
      <c r="AI28" s="84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84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91" t="s">
        <v>179</v>
      </c>
      <c r="AI29" s="84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84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91" t="s">
        <v>185</v>
      </c>
      <c r="AI30" s="84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84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84" t="s">
        <v>186</v>
      </c>
      <c r="AK31" s="84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23"/>
  <sheetViews>
    <sheetView workbookViewId="0">
      <pane ySplit="1" topLeftCell="A5" activePane="bottomLeft" state="frozen"/>
      <selection pane="bottomLeft" activeCell="J34" sqref="J34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7.62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0.5</v>
      </c>
      <c r="D6" s="55"/>
      <c r="E6" s="55"/>
      <c r="F6" s="55"/>
      <c r="G6" s="55"/>
      <c r="H6" s="56">
        <v>1</v>
      </c>
      <c r="I6" s="56" t="s">
        <v>117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0.5</v>
      </c>
      <c r="D10" s="55"/>
      <c r="E10" s="55"/>
      <c r="F10" s="55"/>
      <c r="G10" s="55"/>
      <c r="H10" s="56">
        <v>1</v>
      </c>
      <c r="I10" s="56" t="s">
        <v>117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0.5</v>
      </c>
      <c r="D18" s="55"/>
      <c r="E18" s="55"/>
      <c r="F18" s="55"/>
      <c r="G18" s="55"/>
      <c r="H18" s="56">
        <v>1</v>
      </c>
      <c r="I18" s="56" t="s">
        <v>117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 t="s">
        <v>188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 t="s">
        <v>196</v>
      </c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123"/>
  <sheetViews>
    <sheetView workbookViewId="0">
      <pane ySplit="1" topLeftCell="A2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/>
      <c r="C5" s="55"/>
      <c r="D5" s="55"/>
      <c r="E5" s="55"/>
      <c r="F5" s="55"/>
      <c r="G5" s="55"/>
      <c r="H5" s="56">
        <v>1</v>
      </c>
      <c r="I5" s="56" t="s">
        <v>114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 t="s">
        <v>187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/>
      <c r="C33" s="55"/>
      <c r="D33" s="55"/>
      <c r="E33" s="55"/>
      <c r="F33" s="55"/>
      <c r="G33" s="55"/>
      <c r="H33" s="56">
        <v>1</v>
      </c>
      <c r="I33" s="56" t="s">
        <v>114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/>
      <c r="C13" s="55"/>
      <c r="D13" s="55"/>
      <c r="E13" s="55"/>
      <c r="F13" s="55"/>
      <c r="G13" s="55"/>
      <c r="H13" s="56">
        <v>1</v>
      </c>
      <c r="I13" s="56" t="s">
        <v>114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0.53125</v>
      </c>
      <c r="C19" s="55">
        <v>0.70833333333333337</v>
      </c>
      <c r="D19" s="55"/>
      <c r="E19" s="55"/>
      <c r="F19" s="55">
        <v>0.61458333333333337</v>
      </c>
      <c r="G19" s="55">
        <v>0.625</v>
      </c>
      <c r="H19" s="56">
        <v>1</v>
      </c>
      <c r="I19" s="56" t="s">
        <v>120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 t="s">
        <v>187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0.53125</v>
      </c>
      <c r="C38" s="55">
        <v>0.70833333333333337</v>
      </c>
      <c r="D38" s="55"/>
      <c r="E38" s="55"/>
      <c r="F38" s="55">
        <v>0.61458333333333337</v>
      </c>
      <c r="G38" s="55">
        <v>0.625</v>
      </c>
      <c r="H38" s="56">
        <v>1</v>
      </c>
      <c r="I38" s="56" t="s">
        <v>120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0.53125</v>
      </c>
      <c r="C47" s="55">
        <v>0.70833333333333337</v>
      </c>
      <c r="D47" s="55"/>
      <c r="E47" s="55"/>
      <c r="F47" s="55">
        <v>0.61458333333333337</v>
      </c>
      <c r="G47" s="55">
        <v>0.625</v>
      </c>
      <c r="H47" s="56">
        <v>1</v>
      </c>
      <c r="I47" s="56" t="s">
        <v>120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/>
      <c r="C7" s="55"/>
      <c r="D7" s="55"/>
      <c r="E7" s="55"/>
      <c r="F7" s="55"/>
      <c r="G7" s="55"/>
      <c r="H7" s="56">
        <v>1</v>
      </c>
      <c r="I7" s="56" t="s">
        <v>114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 t="s">
        <v>187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/>
      <c r="C40" s="55"/>
      <c r="D40" s="55"/>
      <c r="E40" s="55"/>
      <c r="F40" s="55"/>
      <c r="G40" s="55"/>
      <c r="H40" s="56">
        <v>1</v>
      </c>
      <c r="I40" s="56" t="s">
        <v>114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/>
      <c r="C69" s="55"/>
      <c r="D69" s="55"/>
      <c r="E69" s="55"/>
      <c r="F69" s="55"/>
      <c r="G69" s="55"/>
      <c r="H69" s="56">
        <v>1</v>
      </c>
      <c r="I69" s="56" t="s">
        <v>114</v>
      </c>
      <c r="J69" s="56"/>
    </row>
    <row r="70" spans="1:10">
      <c r="A70" s="54">
        <v>46150</v>
      </c>
      <c r="B70" s="55"/>
      <c r="C70" s="55"/>
      <c r="D70" s="55"/>
      <c r="E70" s="55"/>
      <c r="F70" s="55"/>
      <c r="G70" s="55"/>
      <c r="H70" s="56">
        <v>1</v>
      </c>
      <c r="I70" s="56" t="s">
        <v>114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/>
      <c r="C12" s="55"/>
      <c r="D12" s="55"/>
      <c r="E12" s="55"/>
      <c r="F12" s="55"/>
      <c r="G12" s="55"/>
      <c r="H12" s="56">
        <v>1</v>
      </c>
      <c r="I12" s="56" t="s">
        <v>114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/>
      <c r="C7" s="55"/>
      <c r="D7" s="55"/>
      <c r="E7" s="55"/>
      <c r="F7" s="55"/>
      <c r="G7" s="55"/>
      <c r="H7" s="56">
        <v>1</v>
      </c>
      <c r="I7" s="56" t="s">
        <v>114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0.5</v>
      </c>
      <c r="D10" s="55"/>
      <c r="E10" s="55"/>
      <c r="F10" s="55"/>
      <c r="G10" s="55"/>
      <c r="H10" s="56">
        <v>1</v>
      </c>
      <c r="I10" s="56" t="s">
        <v>117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/>
      <c r="C17" s="55"/>
      <c r="D17" s="55"/>
      <c r="E17" s="55"/>
      <c r="F17" s="55"/>
      <c r="G17" s="55"/>
      <c r="H17" s="56">
        <v>1</v>
      </c>
      <c r="I17" s="56" t="s">
        <v>114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/>
      <c r="C20" s="55"/>
      <c r="D20" s="55"/>
      <c r="E20" s="55"/>
      <c r="F20" s="55"/>
      <c r="G20" s="55"/>
      <c r="H20" s="56">
        <v>1</v>
      </c>
      <c r="I20" s="56" t="s">
        <v>114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0.53125</v>
      </c>
      <c r="C31" s="55">
        <v>0.70833333333333337</v>
      </c>
      <c r="D31" s="55"/>
      <c r="E31" s="55"/>
      <c r="F31" s="55">
        <v>0.61458333333333337</v>
      </c>
      <c r="G31" s="55">
        <v>0.625</v>
      </c>
      <c r="H31" s="56">
        <v>1</v>
      </c>
      <c r="I31" s="56" t="s">
        <v>120</v>
      </c>
      <c r="J31" s="56" t="s">
        <v>187</v>
      </c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0.5</v>
      </c>
      <c r="D38" s="55"/>
      <c r="E38" s="55"/>
      <c r="F38" s="55"/>
      <c r="G38" s="55"/>
      <c r="H38" s="56">
        <v>1</v>
      </c>
      <c r="I38" s="56" t="s">
        <v>117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/>
      <c r="C40" s="55"/>
      <c r="D40" s="55"/>
      <c r="E40" s="55"/>
      <c r="F40" s="55"/>
      <c r="G40" s="55"/>
      <c r="H40" s="56">
        <v>1</v>
      </c>
      <c r="I40" s="56" t="s">
        <v>114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/>
      <c r="C14" s="55"/>
      <c r="D14" s="55"/>
      <c r="E14" s="55"/>
      <c r="F14" s="55"/>
      <c r="G14" s="55"/>
      <c r="H14" s="56">
        <v>1</v>
      </c>
      <c r="I14" s="56" t="s">
        <v>114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/>
      <c r="C17" s="55"/>
      <c r="D17" s="55"/>
      <c r="E17" s="55"/>
      <c r="F17" s="55"/>
      <c r="G17" s="55"/>
      <c r="H17" s="56">
        <v>1</v>
      </c>
      <c r="I17" s="56" t="s">
        <v>114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/>
      <c r="C61" s="55"/>
      <c r="D61" s="55"/>
      <c r="E61" s="55"/>
      <c r="F61" s="55"/>
      <c r="G61" s="55"/>
      <c r="H61" s="56">
        <v>1</v>
      </c>
      <c r="I61" s="56" t="s">
        <v>114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8" width="9.25" bestFit="1" customWidth="1"/>
    <col min="9" max="9" width="11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147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147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147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147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147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0.5</v>
      </c>
      <c r="D27" s="55"/>
      <c r="E27" s="55"/>
      <c r="F27" s="55"/>
      <c r="G27" s="55"/>
      <c r="H27" s="56">
        <v>1</v>
      </c>
      <c r="I27" s="56" t="s">
        <v>117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0.5</v>
      </c>
      <c r="D11" s="55"/>
      <c r="E11" s="55"/>
      <c r="F11" s="55"/>
      <c r="G11" s="55"/>
      <c r="H11" s="56">
        <v>1</v>
      </c>
      <c r="I11" s="56" t="s">
        <v>117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/>
      <c r="C28" s="55"/>
      <c r="D28" s="55"/>
      <c r="E28" s="55"/>
      <c r="F28" s="55"/>
      <c r="G28" s="55"/>
      <c r="H28" s="56">
        <v>1</v>
      </c>
      <c r="I28" s="56" t="s">
        <v>114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/>
      <c r="C12" s="55"/>
      <c r="D12" s="55"/>
      <c r="E12" s="55"/>
      <c r="F12" s="55"/>
      <c r="G12" s="55"/>
      <c r="H12" s="56">
        <v>1</v>
      </c>
      <c r="I12" s="56" t="s">
        <v>114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/>
      <c r="C35" s="55"/>
      <c r="D35" s="55"/>
      <c r="E35" s="55"/>
      <c r="F35" s="55"/>
      <c r="G35" s="55"/>
      <c r="H35" s="56">
        <v>1</v>
      </c>
      <c r="I35" s="56" t="s">
        <v>114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/>
      <c r="C61" s="55"/>
      <c r="D61" s="55"/>
      <c r="E61" s="55"/>
      <c r="F61" s="55"/>
      <c r="G61" s="55"/>
      <c r="H61" s="56">
        <v>1</v>
      </c>
      <c r="I61" s="56" t="s">
        <v>114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/>
      <c r="C21" s="55"/>
      <c r="D21" s="55"/>
      <c r="E21" s="55"/>
      <c r="F21" s="55"/>
      <c r="G21" s="55"/>
      <c r="H21" s="56">
        <v>1</v>
      </c>
      <c r="I21" s="56" t="s">
        <v>114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0.5</v>
      </c>
      <c r="D25" s="55"/>
      <c r="E25" s="55"/>
      <c r="F25" s="55"/>
      <c r="G25" s="55"/>
      <c r="H25" s="56">
        <v>1</v>
      </c>
      <c r="I25" s="56" t="s">
        <v>117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4" t="s">
        <v>136</v>
      </c>
      <c r="B1" s="45" t="s">
        <v>137</v>
      </c>
      <c r="C1" s="45" t="s">
        <v>138</v>
      </c>
      <c r="D1" s="45" t="s">
        <v>139</v>
      </c>
      <c r="E1" s="45" t="s">
        <v>140</v>
      </c>
      <c r="F1" s="45" t="s">
        <v>141</v>
      </c>
      <c r="G1" s="45" t="s">
        <v>142</v>
      </c>
      <c r="H1" s="46" t="s">
        <v>143</v>
      </c>
      <c r="I1" s="46" t="s">
        <v>146</v>
      </c>
      <c r="J1" s="46" t="s">
        <v>1</v>
      </c>
    </row>
    <row r="2" spans="1:10">
      <c r="A2" s="54">
        <v>46082</v>
      </c>
      <c r="B2" s="55"/>
      <c r="C2" s="55"/>
      <c r="D2" s="55"/>
      <c r="E2" s="55"/>
      <c r="F2" s="55"/>
      <c r="G2" s="55"/>
      <c r="H2" s="56">
        <v>1</v>
      </c>
      <c r="I2" s="56" t="s">
        <v>144</v>
      </c>
      <c r="J2" s="56"/>
    </row>
    <row r="3" spans="1:10">
      <c r="A3" s="54">
        <v>46083</v>
      </c>
      <c r="B3" s="55">
        <v>0.36458333333333331</v>
      </c>
      <c r="C3" s="55">
        <v>0.70833333333333337</v>
      </c>
      <c r="D3" s="55">
        <v>0.5</v>
      </c>
      <c r="E3" s="55">
        <v>0.53472222222222221</v>
      </c>
      <c r="F3" s="55">
        <v>0.61458333333333337</v>
      </c>
      <c r="G3" s="55">
        <v>0.625</v>
      </c>
      <c r="H3" s="56">
        <v>1</v>
      </c>
      <c r="I3" s="56" t="s">
        <v>145</v>
      </c>
      <c r="J3" s="56"/>
    </row>
    <row r="4" spans="1:10">
      <c r="A4" s="54">
        <v>46084</v>
      </c>
      <c r="B4" s="55">
        <v>0.36458333333333331</v>
      </c>
      <c r="C4" s="55">
        <v>0.70833333333333337</v>
      </c>
      <c r="D4" s="55">
        <v>0.5</v>
      </c>
      <c r="E4" s="55">
        <v>0.53472222222222221</v>
      </c>
      <c r="F4" s="55">
        <v>0.61458333333333337</v>
      </c>
      <c r="G4" s="55">
        <v>0.625</v>
      </c>
      <c r="H4" s="56">
        <v>1</v>
      </c>
      <c r="I4" s="56" t="s">
        <v>145</v>
      </c>
      <c r="J4" s="56"/>
    </row>
    <row r="5" spans="1:10">
      <c r="A5" s="54">
        <v>46085</v>
      </c>
      <c r="B5" s="55">
        <v>0.36458333333333331</v>
      </c>
      <c r="C5" s="55">
        <v>0.70833333333333337</v>
      </c>
      <c r="D5" s="55">
        <v>0.5</v>
      </c>
      <c r="E5" s="55">
        <v>0.53472222222222221</v>
      </c>
      <c r="F5" s="55">
        <v>0.61458333333333337</v>
      </c>
      <c r="G5" s="55">
        <v>0.625</v>
      </c>
      <c r="H5" s="56">
        <v>1</v>
      </c>
      <c r="I5" s="56" t="s">
        <v>145</v>
      </c>
      <c r="J5" s="56"/>
    </row>
    <row r="6" spans="1:10">
      <c r="A6" s="54">
        <v>46086</v>
      </c>
      <c r="B6" s="55">
        <v>0.36458333333333331</v>
      </c>
      <c r="C6" s="55">
        <v>0.70833333333333337</v>
      </c>
      <c r="D6" s="55">
        <v>0.5</v>
      </c>
      <c r="E6" s="55">
        <v>0.53472222222222221</v>
      </c>
      <c r="F6" s="55">
        <v>0.61458333333333337</v>
      </c>
      <c r="G6" s="55">
        <v>0.625</v>
      </c>
      <c r="H6" s="56">
        <v>1</v>
      </c>
      <c r="I6" s="56" t="s">
        <v>145</v>
      </c>
      <c r="J6" s="56"/>
    </row>
    <row r="7" spans="1:10">
      <c r="A7" s="54">
        <v>46087</v>
      </c>
      <c r="B7" s="55">
        <v>0.36458333333333331</v>
      </c>
      <c r="C7" s="55">
        <v>0.70833333333333337</v>
      </c>
      <c r="D7" s="55">
        <v>0.5</v>
      </c>
      <c r="E7" s="55">
        <v>0.53472222222222221</v>
      </c>
      <c r="F7" s="55">
        <v>0.61458333333333337</v>
      </c>
      <c r="G7" s="55">
        <v>0.625</v>
      </c>
      <c r="H7" s="56">
        <v>1</v>
      </c>
      <c r="I7" s="56" t="s">
        <v>145</v>
      </c>
      <c r="J7" s="56"/>
    </row>
    <row r="8" spans="1:10">
      <c r="A8" s="54">
        <v>46088</v>
      </c>
      <c r="B8" s="55"/>
      <c r="C8" s="55"/>
      <c r="D8" s="55"/>
      <c r="E8" s="55"/>
      <c r="F8" s="55"/>
      <c r="G8" s="55"/>
      <c r="H8" s="56">
        <v>1</v>
      </c>
      <c r="I8" s="56" t="s">
        <v>144</v>
      </c>
      <c r="J8" s="56"/>
    </row>
    <row r="9" spans="1:10">
      <c r="A9" s="54">
        <v>46089</v>
      </c>
      <c r="B9" s="55"/>
      <c r="C9" s="55"/>
      <c r="D9" s="55"/>
      <c r="E9" s="55"/>
      <c r="F9" s="55"/>
      <c r="G9" s="55"/>
      <c r="H9" s="56">
        <v>1</v>
      </c>
      <c r="I9" s="56" t="s">
        <v>144</v>
      </c>
      <c r="J9" s="56"/>
    </row>
    <row r="10" spans="1:10">
      <c r="A10" s="54">
        <v>46090</v>
      </c>
      <c r="B10" s="55">
        <v>0.36458333333333331</v>
      </c>
      <c r="C10" s="55">
        <v>0.70833333333333337</v>
      </c>
      <c r="D10" s="55">
        <v>0.5</v>
      </c>
      <c r="E10" s="55">
        <v>0.53472222222222221</v>
      </c>
      <c r="F10" s="55">
        <v>0.61458333333333337</v>
      </c>
      <c r="G10" s="55">
        <v>0.625</v>
      </c>
      <c r="H10" s="56">
        <v>1</v>
      </c>
      <c r="I10" s="56" t="s">
        <v>145</v>
      </c>
      <c r="J10" s="56"/>
    </row>
    <row r="11" spans="1:10">
      <c r="A11" s="54">
        <v>46091</v>
      </c>
      <c r="B11" s="55">
        <v>0.36458333333333331</v>
      </c>
      <c r="C11" s="55">
        <v>0.70833333333333337</v>
      </c>
      <c r="D11" s="55">
        <v>0.5</v>
      </c>
      <c r="E11" s="55">
        <v>0.53472222222222221</v>
      </c>
      <c r="F11" s="55">
        <v>0.61458333333333337</v>
      </c>
      <c r="G11" s="55">
        <v>0.625</v>
      </c>
      <c r="H11" s="56">
        <v>1</v>
      </c>
      <c r="I11" s="56" t="s">
        <v>145</v>
      </c>
      <c r="J11" s="56"/>
    </row>
    <row r="12" spans="1:10">
      <c r="A12" s="54">
        <v>46092</v>
      </c>
      <c r="B12" s="55">
        <v>0.36458333333333331</v>
      </c>
      <c r="C12" s="55">
        <v>0.70833333333333337</v>
      </c>
      <c r="D12" s="55">
        <v>0.5</v>
      </c>
      <c r="E12" s="55">
        <v>0.53472222222222221</v>
      </c>
      <c r="F12" s="55">
        <v>0.61458333333333337</v>
      </c>
      <c r="G12" s="55">
        <v>0.625</v>
      </c>
      <c r="H12" s="56">
        <v>1</v>
      </c>
      <c r="I12" s="56" t="s">
        <v>145</v>
      </c>
      <c r="J12" s="56"/>
    </row>
    <row r="13" spans="1:10">
      <c r="A13" s="54">
        <v>46093</v>
      </c>
      <c r="B13" s="55">
        <v>0.36458333333333331</v>
      </c>
      <c r="C13" s="55">
        <v>0.70833333333333337</v>
      </c>
      <c r="D13" s="55">
        <v>0.5</v>
      </c>
      <c r="E13" s="55">
        <v>0.53472222222222221</v>
      </c>
      <c r="F13" s="55">
        <v>0.61458333333333337</v>
      </c>
      <c r="G13" s="55">
        <v>0.625</v>
      </c>
      <c r="H13" s="56">
        <v>1</v>
      </c>
      <c r="I13" s="56" t="s">
        <v>145</v>
      </c>
      <c r="J13" s="56"/>
    </row>
    <row r="14" spans="1:10">
      <c r="A14" s="54">
        <v>46094</v>
      </c>
      <c r="B14" s="55">
        <v>0.36458333333333331</v>
      </c>
      <c r="C14" s="55">
        <v>0.70833333333333337</v>
      </c>
      <c r="D14" s="55">
        <v>0.5</v>
      </c>
      <c r="E14" s="55">
        <v>0.53472222222222221</v>
      </c>
      <c r="F14" s="55">
        <v>0.61458333333333337</v>
      </c>
      <c r="G14" s="55">
        <v>0.625</v>
      </c>
      <c r="H14" s="56">
        <v>1</v>
      </c>
      <c r="I14" s="56" t="s">
        <v>145</v>
      </c>
      <c r="J14" s="56"/>
    </row>
    <row r="15" spans="1:10">
      <c r="A15" s="54">
        <v>46095</v>
      </c>
      <c r="B15" s="55"/>
      <c r="C15" s="55"/>
      <c r="D15" s="55"/>
      <c r="E15" s="55"/>
      <c r="F15" s="55"/>
      <c r="G15" s="55"/>
      <c r="H15" s="56">
        <v>1</v>
      </c>
      <c r="I15" s="56" t="s">
        <v>144</v>
      </c>
      <c r="J15" s="56"/>
    </row>
    <row r="16" spans="1:10">
      <c r="A16" s="54">
        <v>46096</v>
      </c>
      <c r="B16" s="55"/>
      <c r="C16" s="55"/>
      <c r="D16" s="55"/>
      <c r="E16" s="55"/>
      <c r="F16" s="55"/>
      <c r="G16" s="55"/>
      <c r="H16" s="56">
        <v>1</v>
      </c>
      <c r="I16" s="56" t="s">
        <v>144</v>
      </c>
      <c r="J16" s="56"/>
    </row>
    <row r="17" spans="1:10">
      <c r="A17" s="54">
        <v>46097</v>
      </c>
      <c r="B17" s="55">
        <v>0.36458333333333331</v>
      </c>
      <c r="C17" s="55">
        <v>0.70833333333333337</v>
      </c>
      <c r="D17" s="55">
        <v>0.5</v>
      </c>
      <c r="E17" s="55">
        <v>0.53472222222222221</v>
      </c>
      <c r="F17" s="55">
        <v>0.61458333333333337</v>
      </c>
      <c r="G17" s="55">
        <v>0.625</v>
      </c>
      <c r="H17" s="56">
        <v>1</v>
      </c>
      <c r="I17" s="56" t="s">
        <v>145</v>
      </c>
      <c r="J17" s="56"/>
    </row>
    <row r="18" spans="1:10">
      <c r="A18" s="54">
        <v>46098</v>
      </c>
      <c r="B18" s="55">
        <v>0.36458333333333331</v>
      </c>
      <c r="C18" s="55">
        <v>0.70833333333333337</v>
      </c>
      <c r="D18" s="55">
        <v>0.5</v>
      </c>
      <c r="E18" s="55">
        <v>0.53472222222222221</v>
      </c>
      <c r="F18" s="55">
        <v>0.61458333333333337</v>
      </c>
      <c r="G18" s="55">
        <v>0.625</v>
      </c>
      <c r="H18" s="56">
        <v>1</v>
      </c>
      <c r="I18" s="56" t="s">
        <v>145</v>
      </c>
      <c r="J18" s="56"/>
    </row>
    <row r="19" spans="1:10">
      <c r="A19" s="54">
        <v>46099</v>
      </c>
      <c r="B19" s="55">
        <v>0.36458333333333331</v>
      </c>
      <c r="C19" s="55">
        <v>0.70833333333333337</v>
      </c>
      <c r="D19" s="55">
        <v>0.5</v>
      </c>
      <c r="E19" s="55">
        <v>0.53472222222222221</v>
      </c>
      <c r="F19" s="55">
        <v>0.61458333333333337</v>
      </c>
      <c r="G19" s="55">
        <v>0.625</v>
      </c>
      <c r="H19" s="56">
        <v>1</v>
      </c>
      <c r="I19" s="56" t="s">
        <v>145</v>
      </c>
      <c r="J19" s="56"/>
    </row>
    <row r="20" spans="1:10">
      <c r="A20" s="54">
        <v>46100</v>
      </c>
      <c r="B20" s="55">
        <v>0.36458333333333331</v>
      </c>
      <c r="C20" s="55">
        <v>0.70833333333333337</v>
      </c>
      <c r="D20" s="55">
        <v>0.5</v>
      </c>
      <c r="E20" s="55">
        <v>0.53472222222222221</v>
      </c>
      <c r="F20" s="55">
        <v>0.61458333333333337</v>
      </c>
      <c r="G20" s="55">
        <v>0.625</v>
      </c>
      <c r="H20" s="56">
        <v>1</v>
      </c>
      <c r="I20" s="56" t="s">
        <v>145</v>
      </c>
      <c r="J20" s="56"/>
    </row>
    <row r="21" spans="1:10">
      <c r="A21" s="54">
        <v>46101</v>
      </c>
      <c r="B21" s="55">
        <v>0.36458333333333331</v>
      </c>
      <c r="C21" s="55">
        <v>0.70833333333333337</v>
      </c>
      <c r="D21" s="55">
        <v>0.5</v>
      </c>
      <c r="E21" s="55">
        <v>0.53472222222222221</v>
      </c>
      <c r="F21" s="55">
        <v>0.61458333333333337</v>
      </c>
      <c r="G21" s="55">
        <v>0.625</v>
      </c>
      <c r="H21" s="56">
        <v>1</v>
      </c>
      <c r="I21" s="56" t="s">
        <v>145</v>
      </c>
      <c r="J21" s="56"/>
    </row>
    <row r="22" spans="1:10">
      <c r="A22" s="54">
        <v>46102</v>
      </c>
      <c r="B22" s="55"/>
      <c r="C22" s="55"/>
      <c r="D22" s="55"/>
      <c r="E22" s="55"/>
      <c r="F22" s="55"/>
      <c r="G22" s="55"/>
      <c r="H22" s="56">
        <v>1</v>
      </c>
      <c r="I22" s="56" t="s">
        <v>144</v>
      </c>
      <c r="J22" s="56"/>
    </row>
    <row r="23" spans="1:10">
      <c r="A23" s="54">
        <v>46103</v>
      </c>
      <c r="B23" s="55"/>
      <c r="C23" s="55"/>
      <c r="D23" s="55"/>
      <c r="E23" s="55"/>
      <c r="F23" s="55"/>
      <c r="G23" s="55"/>
      <c r="H23" s="56">
        <v>1</v>
      </c>
      <c r="I23" s="56" t="s">
        <v>144</v>
      </c>
      <c r="J23" s="56"/>
    </row>
    <row r="24" spans="1:10">
      <c r="A24" s="54">
        <v>46104</v>
      </c>
      <c r="B24" s="55">
        <v>0.36458333333333331</v>
      </c>
      <c r="C24" s="55">
        <v>0.70833333333333337</v>
      </c>
      <c r="D24" s="55">
        <v>0.5</v>
      </c>
      <c r="E24" s="55">
        <v>0.53472222222222221</v>
      </c>
      <c r="F24" s="55">
        <v>0.61458333333333337</v>
      </c>
      <c r="G24" s="55">
        <v>0.625</v>
      </c>
      <c r="H24" s="56">
        <v>1</v>
      </c>
      <c r="I24" s="56" t="s">
        <v>145</v>
      </c>
      <c r="J24" s="56"/>
    </row>
    <row r="25" spans="1:10">
      <c r="A25" s="54">
        <v>46105</v>
      </c>
      <c r="B25" s="55">
        <v>0.36458333333333331</v>
      </c>
      <c r="C25" s="55">
        <v>0.70833333333333337</v>
      </c>
      <c r="D25" s="55">
        <v>0.5</v>
      </c>
      <c r="E25" s="55">
        <v>0.53472222222222221</v>
      </c>
      <c r="F25" s="55">
        <v>0.61458333333333337</v>
      </c>
      <c r="G25" s="55">
        <v>0.625</v>
      </c>
      <c r="H25" s="56">
        <v>1</v>
      </c>
      <c r="I25" s="56" t="s">
        <v>145</v>
      </c>
      <c r="J25" s="56"/>
    </row>
    <row r="26" spans="1:10">
      <c r="A26" s="54">
        <v>46106</v>
      </c>
      <c r="B26" s="55">
        <v>0.36458333333333331</v>
      </c>
      <c r="C26" s="55">
        <v>0.70833333333333337</v>
      </c>
      <c r="D26" s="55">
        <v>0.5</v>
      </c>
      <c r="E26" s="55">
        <v>0.53472222222222221</v>
      </c>
      <c r="F26" s="55">
        <v>0.61458333333333337</v>
      </c>
      <c r="G26" s="55">
        <v>0.625</v>
      </c>
      <c r="H26" s="56">
        <v>1</v>
      </c>
      <c r="I26" s="56" t="s">
        <v>145</v>
      </c>
      <c r="J26" s="56"/>
    </row>
    <row r="27" spans="1:10">
      <c r="A27" s="54">
        <v>46107</v>
      </c>
      <c r="B27" s="55">
        <v>0.36458333333333331</v>
      </c>
      <c r="C27" s="55">
        <v>0.70833333333333337</v>
      </c>
      <c r="D27" s="55">
        <v>0.5</v>
      </c>
      <c r="E27" s="55">
        <v>0.53472222222222221</v>
      </c>
      <c r="F27" s="55">
        <v>0.61458333333333337</v>
      </c>
      <c r="G27" s="55">
        <v>0.625</v>
      </c>
      <c r="H27" s="56">
        <v>1</v>
      </c>
      <c r="I27" s="56" t="s">
        <v>145</v>
      </c>
      <c r="J27" s="56"/>
    </row>
    <row r="28" spans="1:10">
      <c r="A28" s="54">
        <v>46108</v>
      </c>
      <c r="B28" s="55">
        <v>0.36458333333333331</v>
      </c>
      <c r="C28" s="55">
        <v>0.70833333333333337</v>
      </c>
      <c r="D28" s="55">
        <v>0.5</v>
      </c>
      <c r="E28" s="55">
        <v>0.53472222222222221</v>
      </c>
      <c r="F28" s="55">
        <v>0.61458333333333337</v>
      </c>
      <c r="G28" s="55">
        <v>0.625</v>
      </c>
      <c r="H28" s="56">
        <v>1</v>
      </c>
      <c r="I28" s="56" t="s">
        <v>145</v>
      </c>
      <c r="J28" s="56"/>
    </row>
    <row r="29" spans="1:10">
      <c r="A29" s="54">
        <v>46109</v>
      </c>
      <c r="B29" s="55"/>
      <c r="C29" s="55"/>
      <c r="D29" s="55"/>
      <c r="E29" s="55"/>
      <c r="F29" s="55"/>
      <c r="G29" s="55"/>
      <c r="H29" s="56">
        <v>1</v>
      </c>
      <c r="I29" s="56" t="s">
        <v>144</v>
      </c>
      <c r="J29" s="56"/>
    </row>
    <row r="30" spans="1:10">
      <c r="A30" s="54">
        <v>46110</v>
      </c>
      <c r="B30" s="55"/>
      <c r="C30" s="55"/>
      <c r="D30" s="55"/>
      <c r="E30" s="55"/>
      <c r="F30" s="55"/>
      <c r="G30" s="55"/>
      <c r="H30" s="56">
        <v>1</v>
      </c>
      <c r="I30" s="56" t="s">
        <v>144</v>
      </c>
      <c r="J30" s="56"/>
    </row>
    <row r="31" spans="1:10">
      <c r="A31" s="54">
        <v>46111</v>
      </c>
      <c r="B31" s="55">
        <v>0.36458333333333331</v>
      </c>
      <c r="C31" s="55">
        <v>0.70833333333333337</v>
      </c>
      <c r="D31" s="55">
        <v>0.5</v>
      </c>
      <c r="E31" s="55">
        <v>0.53472222222222221</v>
      </c>
      <c r="F31" s="55">
        <v>0.61458333333333337</v>
      </c>
      <c r="G31" s="55">
        <v>0.625</v>
      </c>
      <c r="H31" s="56">
        <v>1</v>
      </c>
      <c r="I31" s="56" t="s">
        <v>145</v>
      </c>
      <c r="J31" s="56"/>
    </row>
    <row r="32" spans="1:10">
      <c r="A32" s="54">
        <v>46112</v>
      </c>
      <c r="B32" s="55">
        <v>0.36458333333333331</v>
      </c>
      <c r="C32" s="55">
        <v>0.70833333333333337</v>
      </c>
      <c r="D32" s="55">
        <v>0.5</v>
      </c>
      <c r="E32" s="55">
        <v>0.53472222222222221</v>
      </c>
      <c r="F32" s="55">
        <v>0.61458333333333337</v>
      </c>
      <c r="G32" s="55">
        <v>0.625</v>
      </c>
      <c r="H32" s="56">
        <v>1</v>
      </c>
      <c r="I32" s="56" t="s">
        <v>145</v>
      </c>
      <c r="J32" s="56"/>
    </row>
    <row r="33" spans="1:10">
      <c r="A33" s="54">
        <v>46113</v>
      </c>
      <c r="B33" s="55">
        <v>0.36458333333333331</v>
      </c>
      <c r="C33" s="55">
        <v>0.70833333333333337</v>
      </c>
      <c r="D33" s="55">
        <v>0.5</v>
      </c>
      <c r="E33" s="55">
        <v>0.53472222222222221</v>
      </c>
      <c r="F33" s="55">
        <v>0.61458333333333337</v>
      </c>
      <c r="G33" s="55">
        <v>0.625</v>
      </c>
      <c r="H33" s="56">
        <v>1</v>
      </c>
      <c r="I33" s="56" t="s">
        <v>145</v>
      </c>
      <c r="J33" s="56"/>
    </row>
    <row r="34" spans="1:10">
      <c r="A34" s="54">
        <v>46114</v>
      </c>
      <c r="B34" s="55">
        <v>0.36458333333333331</v>
      </c>
      <c r="C34" s="55">
        <v>0.70833333333333337</v>
      </c>
      <c r="D34" s="55">
        <v>0.5</v>
      </c>
      <c r="E34" s="55">
        <v>0.53472222222222221</v>
      </c>
      <c r="F34" s="55">
        <v>0.61458333333333337</v>
      </c>
      <c r="G34" s="55">
        <v>0.625</v>
      </c>
      <c r="H34" s="56">
        <v>1</v>
      </c>
      <c r="I34" s="56" t="s">
        <v>145</v>
      </c>
      <c r="J34" s="56"/>
    </row>
    <row r="35" spans="1:10">
      <c r="A35" s="54">
        <v>46115</v>
      </c>
      <c r="B35" s="55">
        <v>0.36458333333333331</v>
      </c>
      <c r="C35" s="55">
        <v>0.70833333333333337</v>
      </c>
      <c r="D35" s="55">
        <v>0.5</v>
      </c>
      <c r="E35" s="55">
        <v>0.53472222222222221</v>
      </c>
      <c r="F35" s="55">
        <v>0.61458333333333337</v>
      </c>
      <c r="G35" s="55">
        <v>0.625</v>
      </c>
      <c r="H35" s="56">
        <v>1</v>
      </c>
      <c r="I35" s="56" t="s">
        <v>145</v>
      </c>
      <c r="J35" s="56"/>
    </row>
    <row r="36" spans="1:10">
      <c r="A36" s="54">
        <v>46116</v>
      </c>
      <c r="B36" s="55"/>
      <c r="C36" s="55"/>
      <c r="D36" s="55"/>
      <c r="E36" s="55"/>
      <c r="F36" s="55"/>
      <c r="G36" s="55"/>
      <c r="H36" s="56">
        <v>1</v>
      </c>
      <c r="I36" s="56" t="s">
        <v>144</v>
      </c>
      <c r="J36" s="56"/>
    </row>
    <row r="37" spans="1:10">
      <c r="A37" s="54">
        <v>46117</v>
      </c>
      <c r="B37" s="55"/>
      <c r="C37" s="55"/>
      <c r="D37" s="55"/>
      <c r="E37" s="55"/>
      <c r="F37" s="55"/>
      <c r="G37" s="55"/>
      <c r="H37" s="56">
        <v>1</v>
      </c>
      <c r="I37" s="56" t="s">
        <v>144</v>
      </c>
      <c r="J37" s="56"/>
    </row>
    <row r="38" spans="1:10">
      <c r="A38" s="54">
        <v>46118</v>
      </c>
      <c r="B38" s="55">
        <v>0.36458333333333331</v>
      </c>
      <c r="C38" s="55">
        <v>0.70833333333333337</v>
      </c>
      <c r="D38" s="55">
        <v>0.5</v>
      </c>
      <c r="E38" s="55">
        <v>0.53472222222222221</v>
      </c>
      <c r="F38" s="55">
        <v>0.61458333333333337</v>
      </c>
      <c r="G38" s="55">
        <v>0.625</v>
      </c>
      <c r="H38" s="56">
        <v>1</v>
      </c>
      <c r="I38" s="56" t="s">
        <v>145</v>
      </c>
      <c r="J38" s="56"/>
    </row>
    <row r="39" spans="1:10">
      <c r="A39" s="54">
        <v>46119</v>
      </c>
      <c r="B39" s="55">
        <v>0.36458333333333331</v>
      </c>
      <c r="C39" s="55">
        <v>0.70833333333333337</v>
      </c>
      <c r="D39" s="55">
        <v>0.5</v>
      </c>
      <c r="E39" s="55">
        <v>0.53472222222222221</v>
      </c>
      <c r="F39" s="55">
        <v>0.61458333333333337</v>
      </c>
      <c r="G39" s="55">
        <v>0.625</v>
      </c>
      <c r="H39" s="56">
        <v>1</v>
      </c>
      <c r="I39" s="56" t="s">
        <v>145</v>
      </c>
      <c r="J39" s="56"/>
    </row>
    <row r="40" spans="1:10">
      <c r="A40" s="54">
        <v>46120</v>
      </c>
      <c r="B40" s="55">
        <v>0.36458333333333331</v>
      </c>
      <c r="C40" s="55">
        <v>0.70833333333333337</v>
      </c>
      <c r="D40" s="55">
        <v>0.5</v>
      </c>
      <c r="E40" s="55">
        <v>0.53472222222222221</v>
      </c>
      <c r="F40" s="55">
        <v>0.61458333333333337</v>
      </c>
      <c r="G40" s="55">
        <v>0.625</v>
      </c>
      <c r="H40" s="56">
        <v>1</v>
      </c>
      <c r="I40" s="56" t="s">
        <v>145</v>
      </c>
      <c r="J40" s="56"/>
    </row>
    <row r="41" spans="1:10">
      <c r="A41" s="54">
        <v>46121</v>
      </c>
      <c r="B41" s="55">
        <v>0.36458333333333331</v>
      </c>
      <c r="C41" s="55">
        <v>0.70833333333333337</v>
      </c>
      <c r="D41" s="55">
        <v>0.5</v>
      </c>
      <c r="E41" s="55">
        <v>0.53472222222222221</v>
      </c>
      <c r="F41" s="55">
        <v>0.61458333333333337</v>
      </c>
      <c r="G41" s="55">
        <v>0.625</v>
      </c>
      <c r="H41" s="56">
        <v>1</v>
      </c>
      <c r="I41" s="56" t="s">
        <v>145</v>
      </c>
      <c r="J41" s="56"/>
    </row>
    <row r="42" spans="1:10">
      <c r="A42" s="54">
        <v>46122</v>
      </c>
      <c r="B42" s="55">
        <v>0.36458333333333331</v>
      </c>
      <c r="C42" s="55">
        <v>0.70833333333333337</v>
      </c>
      <c r="D42" s="55">
        <v>0.5</v>
      </c>
      <c r="E42" s="55">
        <v>0.53472222222222221</v>
      </c>
      <c r="F42" s="55">
        <v>0.61458333333333337</v>
      </c>
      <c r="G42" s="55">
        <v>0.625</v>
      </c>
      <c r="H42" s="56">
        <v>1</v>
      </c>
      <c r="I42" s="56" t="s">
        <v>145</v>
      </c>
      <c r="J42" s="56"/>
    </row>
    <row r="43" spans="1:10">
      <c r="A43" s="54">
        <v>46123</v>
      </c>
      <c r="B43" s="55"/>
      <c r="C43" s="55"/>
      <c r="D43" s="55"/>
      <c r="E43" s="55"/>
      <c r="F43" s="55"/>
      <c r="G43" s="55"/>
      <c r="H43" s="56">
        <v>1</v>
      </c>
      <c r="I43" s="56" t="s">
        <v>144</v>
      </c>
      <c r="J43" s="56"/>
    </row>
    <row r="44" spans="1:10">
      <c r="A44" s="54">
        <v>46124</v>
      </c>
      <c r="B44" s="55"/>
      <c r="C44" s="55"/>
      <c r="D44" s="55"/>
      <c r="E44" s="55"/>
      <c r="F44" s="55"/>
      <c r="G44" s="55"/>
      <c r="H44" s="56">
        <v>1</v>
      </c>
      <c r="I44" s="56" t="s">
        <v>144</v>
      </c>
      <c r="J44" s="56"/>
    </row>
    <row r="45" spans="1:10">
      <c r="A45" s="54">
        <v>46125</v>
      </c>
      <c r="B45" s="55">
        <v>0.36458333333333331</v>
      </c>
      <c r="C45" s="55">
        <v>0.70833333333333337</v>
      </c>
      <c r="D45" s="55">
        <v>0.5</v>
      </c>
      <c r="E45" s="55">
        <v>0.53472222222222221</v>
      </c>
      <c r="F45" s="55">
        <v>0.61458333333333337</v>
      </c>
      <c r="G45" s="55">
        <v>0.625</v>
      </c>
      <c r="H45" s="56">
        <v>1</v>
      </c>
      <c r="I45" s="56" t="s">
        <v>145</v>
      </c>
      <c r="J45" s="56"/>
    </row>
    <row r="46" spans="1:10">
      <c r="A46" s="54">
        <v>46126</v>
      </c>
      <c r="B46" s="55">
        <v>0.36458333333333331</v>
      </c>
      <c r="C46" s="55">
        <v>0.70833333333333337</v>
      </c>
      <c r="D46" s="55">
        <v>0.5</v>
      </c>
      <c r="E46" s="55">
        <v>0.53472222222222221</v>
      </c>
      <c r="F46" s="55">
        <v>0.61458333333333337</v>
      </c>
      <c r="G46" s="55">
        <v>0.625</v>
      </c>
      <c r="H46" s="56">
        <v>1</v>
      </c>
      <c r="I46" s="56" t="s">
        <v>145</v>
      </c>
      <c r="J46" s="56"/>
    </row>
    <row r="47" spans="1:10">
      <c r="A47" s="54">
        <v>46127</v>
      </c>
      <c r="B47" s="55">
        <v>0.36458333333333331</v>
      </c>
      <c r="C47" s="55">
        <v>0.70833333333333337</v>
      </c>
      <c r="D47" s="55">
        <v>0.5</v>
      </c>
      <c r="E47" s="55">
        <v>0.53472222222222221</v>
      </c>
      <c r="F47" s="55">
        <v>0.61458333333333337</v>
      </c>
      <c r="G47" s="55">
        <v>0.625</v>
      </c>
      <c r="H47" s="56">
        <v>1</v>
      </c>
      <c r="I47" s="56" t="s">
        <v>145</v>
      </c>
      <c r="J47" s="56"/>
    </row>
    <row r="48" spans="1:10">
      <c r="A48" s="54">
        <v>46128</v>
      </c>
      <c r="B48" s="55">
        <v>0.36458333333333331</v>
      </c>
      <c r="C48" s="55">
        <v>0.70833333333333337</v>
      </c>
      <c r="D48" s="55">
        <v>0.5</v>
      </c>
      <c r="E48" s="55">
        <v>0.53472222222222221</v>
      </c>
      <c r="F48" s="55">
        <v>0.61458333333333337</v>
      </c>
      <c r="G48" s="55">
        <v>0.625</v>
      </c>
      <c r="H48" s="56">
        <v>1</v>
      </c>
      <c r="I48" s="56" t="s">
        <v>145</v>
      </c>
      <c r="J48" s="56"/>
    </row>
    <row r="49" spans="1:10">
      <c r="A49" s="54">
        <v>46129</v>
      </c>
      <c r="B49" s="55">
        <v>0.36458333333333331</v>
      </c>
      <c r="C49" s="55">
        <v>0.70833333333333337</v>
      </c>
      <c r="D49" s="55">
        <v>0.5</v>
      </c>
      <c r="E49" s="55">
        <v>0.53472222222222221</v>
      </c>
      <c r="F49" s="55">
        <v>0.61458333333333337</v>
      </c>
      <c r="G49" s="55">
        <v>0.625</v>
      </c>
      <c r="H49" s="56">
        <v>1</v>
      </c>
      <c r="I49" s="56" t="s">
        <v>145</v>
      </c>
      <c r="J49" s="56"/>
    </row>
    <row r="50" spans="1:10">
      <c r="A50" s="54">
        <v>46130</v>
      </c>
      <c r="B50" s="55"/>
      <c r="C50" s="55"/>
      <c r="D50" s="55"/>
      <c r="E50" s="55"/>
      <c r="F50" s="55"/>
      <c r="G50" s="55"/>
      <c r="H50" s="56">
        <v>1</v>
      </c>
      <c r="I50" s="56" t="s">
        <v>144</v>
      </c>
      <c r="J50" s="56"/>
    </row>
    <row r="51" spans="1:10">
      <c r="A51" s="54">
        <v>46131</v>
      </c>
      <c r="B51" s="55"/>
      <c r="C51" s="55"/>
      <c r="D51" s="55"/>
      <c r="E51" s="55"/>
      <c r="F51" s="55"/>
      <c r="G51" s="55"/>
      <c r="H51" s="56">
        <v>1</v>
      </c>
      <c r="I51" s="56" t="s">
        <v>144</v>
      </c>
      <c r="J51" s="56"/>
    </row>
    <row r="52" spans="1:10">
      <c r="A52" s="54">
        <v>46132</v>
      </c>
      <c r="B52" s="55">
        <v>0.36458333333333331</v>
      </c>
      <c r="C52" s="55">
        <v>0.70833333333333337</v>
      </c>
      <c r="D52" s="55">
        <v>0.5</v>
      </c>
      <c r="E52" s="55">
        <v>0.53472222222222221</v>
      </c>
      <c r="F52" s="55">
        <v>0.61458333333333337</v>
      </c>
      <c r="G52" s="55">
        <v>0.625</v>
      </c>
      <c r="H52" s="56">
        <v>1</v>
      </c>
      <c r="I52" s="56" t="s">
        <v>145</v>
      </c>
      <c r="J52" s="56"/>
    </row>
    <row r="53" spans="1:10">
      <c r="A53" s="54">
        <v>46133</v>
      </c>
      <c r="B53" s="55">
        <v>0.36458333333333331</v>
      </c>
      <c r="C53" s="55">
        <v>0.70833333333333337</v>
      </c>
      <c r="D53" s="55">
        <v>0.5</v>
      </c>
      <c r="E53" s="55">
        <v>0.53472222222222221</v>
      </c>
      <c r="F53" s="55">
        <v>0.61458333333333337</v>
      </c>
      <c r="G53" s="55">
        <v>0.625</v>
      </c>
      <c r="H53" s="56">
        <v>1</v>
      </c>
      <c r="I53" s="56" t="s">
        <v>145</v>
      </c>
      <c r="J53" s="56"/>
    </row>
    <row r="54" spans="1:10">
      <c r="A54" s="54">
        <v>46134</v>
      </c>
      <c r="B54" s="55">
        <v>0.36458333333333331</v>
      </c>
      <c r="C54" s="55">
        <v>0.70833333333333337</v>
      </c>
      <c r="D54" s="55">
        <v>0.5</v>
      </c>
      <c r="E54" s="55">
        <v>0.53472222222222221</v>
      </c>
      <c r="F54" s="55">
        <v>0.61458333333333337</v>
      </c>
      <c r="G54" s="55">
        <v>0.625</v>
      </c>
      <c r="H54" s="56">
        <v>1</v>
      </c>
      <c r="I54" s="56" t="s">
        <v>145</v>
      </c>
      <c r="J54" s="56"/>
    </row>
    <row r="55" spans="1:10">
      <c r="A55" s="54">
        <v>46135</v>
      </c>
      <c r="B55" s="55">
        <v>0.36458333333333331</v>
      </c>
      <c r="C55" s="55">
        <v>0.70833333333333337</v>
      </c>
      <c r="D55" s="55">
        <v>0.5</v>
      </c>
      <c r="E55" s="55">
        <v>0.53472222222222221</v>
      </c>
      <c r="F55" s="55">
        <v>0.61458333333333337</v>
      </c>
      <c r="G55" s="55">
        <v>0.625</v>
      </c>
      <c r="H55" s="56">
        <v>1</v>
      </c>
      <c r="I55" s="56" t="s">
        <v>145</v>
      </c>
      <c r="J55" s="56"/>
    </row>
    <row r="56" spans="1:10">
      <c r="A56" s="54">
        <v>46136</v>
      </c>
      <c r="B56" s="55">
        <v>0.36458333333333331</v>
      </c>
      <c r="C56" s="55">
        <v>0.70833333333333337</v>
      </c>
      <c r="D56" s="55">
        <v>0.5</v>
      </c>
      <c r="E56" s="55">
        <v>0.53472222222222221</v>
      </c>
      <c r="F56" s="55">
        <v>0.61458333333333337</v>
      </c>
      <c r="G56" s="55">
        <v>0.625</v>
      </c>
      <c r="H56" s="56">
        <v>1</v>
      </c>
      <c r="I56" s="56" t="s">
        <v>145</v>
      </c>
      <c r="J56" s="56"/>
    </row>
    <row r="57" spans="1:10">
      <c r="A57" s="54">
        <v>46137</v>
      </c>
      <c r="B57" s="55"/>
      <c r="C57" s="55"/>
      <c r="D57" s="55"/>
      <c r="E57" s="55"/>
      <c r="F57" s="55"/>
      <c r="G57" s="55"/>
      <c r="H57" s="56">
        <v>1</v>
      </c>
      <c r="I57" s="56" t="s">
        <v>144</v>
      </c>
      <c r="J57" s="56"/>
    </row>
    <row r="58" spans="1:10">
      <c r="A58" s="54">
        <v>46138</v>
      </c>
      <c r="B58" s="55"/>
      <c r="C58" s="55"/>
      <c r="D58" s="55"/>
      <c r="E58" s="55"/>
      <c r="F58" s="55"/>
      <c r="G58" s="55"/>
      <c r="H58" s="56">
        <v>1</v>
      </c>
      <c r="I58" s="56" t="s">
        <v>144</v>
      </c>
      <c r="J58" s="56"/>
    </row>
    <row r="59" spans="1:10">
      <c r="A59" s="54">
        <v>46139</v>
      </c>
      <c r="B59" s="55">
        <v>0.36458333333333331</v>
      </c>
      <c r="C59" s="55">
        <v>0.70833333333333337</v>
      </c>
      <c r="D59" s="55">
        <v>0.5</v>
      </c>
      <c r="E59" s="55">
        <v>0.53472222222222221</v>
      </c>
      <c r="F59" s="55">
        <v>0.61458333333333337</v>
      </c>
      <c r="G59" s="55">
        <v>0.625</v>
      </c>
      <c r="H59" s="56">
        <v>1</v>
      </c>
      <c r="I59" s="56" t="s">
        <v>145</v>
      </c>
      <c r="J59" s="56"/>
    </row>
    <row r="60" spans="1:10">
      <c r="A60" s="54">
        <v>46140</v>
      </c>
      <c r="B60" s="55">
        <v>0.36458333333333331</v>
      </c>
      <c r="C60" s="55">
        <v>0.70833333333333337</v>
      </c>
      <c r="D60" s="55">
        <v>0.5</v>
      </c>
      <c r="E60" s="55">
        <v>0.53472222222222221</v>
      </c>
      <c r="F60" s="55">
        <v>0.61458333333333337</v>
      </c>
      <c r="G60" s="55">
        <v>0.625</v>
      </c>
      <c r="H60" s="56">
        <v>1</v>
      </c>
      <c r="I60" s="56" t="s">
        <v>145</v>
      </c>
      <c r="J60" s="56"/>
    </row>
    <row r="61" spans="1:10">
      <c r="A61" s="54">
        <v>46141</v>
      </c>
      <c r="B61" s="55">
        <v>0.36458333333333331</v>
      </c>
      <c r="C61" s="55">
        <v>0.70833333333333337</v>
      </c>
      <c r="D61" s="55">
        <v>0.5</v>
      </c>
      <c r="E61" s="55">
        <v>0.53472222222222221</v>
      </c>
      <c r="F61" s="55">
        <v>0.61458333333333337</v>
      </c>
      <c r="G61" s="55">
        <v>0.625</v>
      </c>
      <c r="H61" s="56">
        <v>1</v>
      </c>
      <c r="I61" s="56" t="s">
        <v>145</v>
      </c>
      <c r="J61" s="56"/>
    </row>
    <row r="62" spans="1:10">
      <c r="A62" s="54">
        <v>46142</v>
      </c>
      <c r="B62" s="55">
        <v>0.36458333333333331</v>
      </c>
      <c r="C62" s="55">
        <v>0.70833333333333337</v>
      </c>
      <c r="D62" s="55">
        <v>0.5</v>
      </c>
      <c r="E62" s="55">
        <v>0.53472222222222221</v>
      </c>
      <c r="F62" s="55">
        <v>0.61458333333333337</v>
      </c>
      <c r="G62" s="55">
        <v>0.625</v>
      </c>
      <c r="H62" s="56">
        <v>1</v>
      </c>
      <c r="I62" s="56" t="s">
        <v>145</v>
      </c>
      <c r="J62" s="56"/>
    </row>
    <row r="63" spans="1:10">
      <c r="A63" s="54">
        <v>46143</v>
      </c>
      <c r="B63" s="55">
        <v>0.36458333333333331</v>
      </c>
      <c r="C63" s="55">
        <v>0.70833333333333337</v>
      </c>
      <c r="D63" s="55">
        <v>0.5</v>
      </c>
      <c r="E63" s="55">
        <v>0.53472222222222221</v>
      </c>
      <c r="F63" s="55">
        <v>0.61458333333333337</v>
      </c>
      <c r="G63" s="55">
        <v>0.625</v>
      </c>
      <c r="H63" s="56">
        <v>1</v>
      </c>
      <c r="I63" s="56" t="s">
        <v>145</v>
      </c>
      <c r="J63" s="56"/>
    </row>
    <row r="64" spans="1:10">
      <c r="A64" s="54">
        <v>46144</v>
      </c>
      <c r="B64" s="55">
        <v>0.36458333333333331</v>
      </c>
      <c r="C64" s="55">
        <v>0.70833333333333337</v>
      </c>
      <c r="D64" s="55">
        <v>0.5</v>
      </c>
      <c r="E64" s="55">
        <v>0.53472222222222221</v>
      </c>
      <c r="F64" s="55">
        <v>0.61458333333333337</v>
      </c>
      <c r="G64" s="55">
        <v>0.625</v>
      </c>
      <c r="H64" s="56">
        <v>1</v>
      </c>
      <c r="I64" s="56" t="s">
        <v>145</v>
      </c>
      <c r="J64" s="56"/>
    </row>
    <row r="65" spans="1:10">
      <c r="A65" s="54">
        <v>46145</v>
      </c>
      <c r="B65" s="55"/>
      <c r="C65" s="55"/>
      <c r="D65" s="55"/>
      <c r="E65" s="55"/>
      <c r="F65" s="55"/>
      <c r="G65" s="55"/>
      <c r="H65" s="56">
        <v>1</v>
      </c>
      <c r="I65" s="56" t="s">
        <v>144</v>
      </c>
      <c r="J65" s="56"/>
    </row>
    <row r="66" spans="1:10">
      <c r="A66" s="54">
        <v>46146</v>
      </c>
      <c r="B66" s="55"/>
      <c r="C66" s="55"/>
      <c r="D66" s="55"/>
      <c r="E66" s="55"/>
      <c r="F66" s="55"/>
      <c r="G66" s="55"/>
      <c r="H66" s="56">
        <v>1</v>
      </c>
      <c r="I66" s="56" t="s">
        <v>144</v>
      </c>
      <c r="J66" s="56"/>
    </row>
    <row r="67" spans="1:10">
      <c r="A67" s="54">
        <v>46147</v>
      </c>
      <c r="B67" s="55"/>
      <c r="C67" s="55"/>
      <c r="D67" s="55"/>
      <c r="E67" s="55"/>
      <c r="F67" s="55"/>
      <c r="G67" s="55"/>
      <c r="H67" s="56">
        <v>1</v>
      </c>
      <c r="I67" s="56" t="s">
        <v>144</v>
      </c>
      <c r="J67" s="56"/>
    </row>
    <row r="68" spans="1:10">
      <c r="A68" s="54">
        <v>46148</v>
      </c>
      <c r="B68" s="55"/>
      <c r="C68" s="55"/>
      <c r="D68" s="55"/>
      <c r="E68" s="55"/>
      <c r="F68" s="55"/>
      <c r="G68" s="55"/>
      <c r="H68" s="56">
        <v>1</v>
      </c>
      <c r="I68" s="56" t="s">
        <v>144</v>
      </c>
      <c r="J68" s="56"/>
    </row>
    <row r="69" spans="1:10">
      <c r="A69" s="54">
        <v>46149</v>
      </c>
      <c r="B69" s="55">
        <v>0.36458333333333331</v>
      </c>
      <c r="C69" s="55">
        <v>0.70833333333333337</v>
      </c>
      <c r="D69" s="55">
        <v>0.5</v>
      </c>
      <c r="E69" s="55">
        <v>0.53472222222222221</v>
      </c>
      <c r="F69" s="55">
        <v>0.61458333333333337</v>
      </c>
      <c r="G69" s="55">
        <v>0.625</v>
      </c>
      <c r="H69" s="56">
        <v>1</v>
      </c>
      <c r="I69" s="56" t="s">
        <v>145</v>
      </c>
      <c r="J69" s="56"/>
    </row>
    <row r="70" spans="1:10">
      <c r="A70" s="54">
        <v>46150</v>
      </c>
      <c r="B70" s="55">
        <v>0.36458333333333331</v>
      </c>
      <c r="C70" s="55">
        <v>0.70833333333333337</v>
      </c>
      <c r="D70" s="55">
        <v>0.5</v>
      </c>
      <c r="E70" s="55">
        <v>0.53472222222222221</v>
      </c>
      <c r="F70" s="55">
        <v>0.61458333333333337</v>
      </c>
      <c r="G70" s="55">
        <v>0.625</v>
      </c>
      <c r="H70" s="56">
        <v>1</v>
      </c>
      <c r="I70" s="56" t="s">
        <v>145</v>
      </c>
      <c r="J70" s="56"/>
    </row>
    <row r="71" spans="1:10">
      <c r="A71" s="54">
        <v>46151</v>
      </c>
      <c r="B71" s="55"/>
      <c r="C71" s="55"/>
      <c r="D71" s="55"/>
      <c r="E71" s="55"/>
      <c r="F71" s="55"/>
      <c r="G71" s="55"/>
      <c r="H71" s="56">
        <v>1</v>
      </c>
      <c r="I71" s="56" t="s">
        <v>144</v>
      </c>
      <c r="J71" s="56"/>
    </row>
    <row r="72" spans="1:10">
      <c r="A72" s="54">
        <v>46152</v>
      </c>
      <c r="B72" s="55"/>
      <c r="C72" s="55"/>
      <c r="D72" s="55"/>
      <c r="E72" s="55"/>
      <c r="F72" s="55"/>
      <c r="G72" s="55"/>
      <c r="H72" s="56">
        <v>1</v>
      </c>
      <c r="I72" s="56" t="s">
        <v>144</v>
      </c>
      <c r="J72" s="56"/>
    </row>
    <row r="73" spans="1:10">
      <c r="A73" s="54">
        <v>46153</v>
      </c>
      <c r="B73" s="55">
        <v>0.36458333333333331</v>
      </c>
      <c r="C73" s="55">
        <v>0.70833333333333337</v>
      </c>
      <c r="D73" s="55">
        <v>0.5</v>
      </c>
      <c r="E73" s="55">
        <v>0.53472222222222221</v>
      </c>
      <c r="F73" s="55">
        <v>0.61458333333333337</v>
      </c>
      <c r="G73" s="55">
        <v>0.625</v>
      </c>
      <c r="H73" s="56">
        <v>1</v>
      </c>
      <c r="I73" s="56" t="s">
        <v>145</v>
      </c>
      <c r="J73" s="56"/>
    </row>
    <row r="74" spans="1:10">
      <c r="A74" s="54">
        <v>46154</v>
      </c>
      <c r="B74" s="55">
        <v>0.36458333333333331</v>
      </c>
      <c r="C74" s="55">
        <v>0.70833333333333337</v>
      </c>
      <c r="D74" s="55">
        <v>0.5</v>
      </c>
      <c r="E74" s="55">
        <v>0.53472222222222221</v>
      </c>
      <c r="F74" s="55">
        <v>0.61458333333333337</v>
      </c>
      <c r="G74" s="55">
        <v>0.625</v>
      </c>
      <c r="H74" s="56">
        <v>1</v>
      </c>
      <c r="I74" s="56" t="s">
        <v>145</v>
      </c>
      <c r="J74" s="56"/>
    </row>
    <row r="75" spans="1:10">
      <c r="A75" s="54">
        <v>46155</v>
      </c>
      <c r="B75" s="55">
        <v>0.36458333333333331</v>
      </c>
      <c r="C75" s="55">
        <v>0.70833333333333337</v>
      </c>
      <c r="D75" s="55">
        <v>0.5</v>
      </c>
      <c r="E75" s="55">
        <v>0.53472222222222221</v>
      </c>
      <c r="F75" s="55">
        <v>0.61458333333333337</v>
      </c>
      <c r="G75" s="55">
        <v>0.625</v>
      </c>
      <c r="H75" s="56">
        <v>1</v>
      </c>
      <c r="I75" s="56" t="s">
        <v>145</v>
      </c>
      <c r="J75" s="56"/>
    </row>
    <row r="76" spans="1:10">
      <c r="A76" s="54">
        <v>46156</v>
      </c>
      <c r="B76" s="55">
        <v>0.36458333333333331</v>
      </c>
      <c r="C76" s="55">
        <v>0.70833333333333337</v>
      </c>
      <c r="D76" s="55">
        <v>0.5</v>
      </c>
      <c r="E76" s="55">
        <v>0.53472222222222221</v>
      </c>
      <c r="F76" s="55">
        <v>0.61458333333333337</v>
      </c>
      <c r="G76" s="55">
        <v>0.625</v>
      </c>
      <c r="H76" s="56">
        <v>1</v>
      </c>
      <c r="I76" s="56" t="s">
        <v>145</v>
      </c>
      <c r="J76" s="56"/>
    </row>
    <row r="77" spans="1:10">
      <c r="A77" s="54">
        <v>46157</v>
      </c>
      <c r="B77" s="55">
        <v>0.36458333333333331</v>
      </c>
      <c r="C77" s="55">
        <v>0.70833333333333337</v>
      </c>
      <c r="D77" s="55">
        <v>0.5</v>
      </c>
      <c r="E77" s="55">
        <v>0.53472222222222221</v>
      </c>
      <c r="F77" s="55">
        <v>0.61458333333333337</v>
      </c>
      <c r="G77" s="55">
        <v>0.625</v>
      </c>
      <c r="H77" s="56">
        <v>1</v>
      </c>
      <c r="I77" s="56" t="s">
        <v>145</v>
      </c>
      <c r="J77" s="56"/>
    </row>
    <row r="78" spans="1:10">
      <c r="A78" s="54">
        <v>46158</v>
      </c>
      <c r="B78" s="55"/>
      <c r="C78" s="55"/>
      <c r="D78" s="55"/>
      <c r="E78" s="55"/>
      <c r="F78" s="55"/>
      <c r="G78" s="55"/>
      <c r="H78" s="56">
        <v>1</v>
      </c>
      <c r="I78" s="56" t="s">
        <v>144</v>
      </c>
      <c r="J78" s="56"/>
    </row>
    <row r="79" spans="1:10">
      <c r="A79" s="54">
        <v>46159</v>
      </c>
      <c r="B79" s="55"/>
      <c r="C79" s="55"/>
      <c r="D79" s="55"/>
      <c r="E79" s="55"/>
      <c r="F79" s="55"/>
      <c r="G79" s="55"/>
      <c r="H79" s="56">
        <v>1</v>
      </c>
      <c r="I79" s="56" t="s">
        <v>144</v>
      </c>
      <c r="J79" s="56"/>
    </row>
    <row r="80" spans="1:10">
      <c r="A80" s="54">
        <v>46160</v>
      </c>
      <c r="B80" s="55">
        <v>0.36458333333333331</v>
      </c>
      <c r="C80" s="55">
        <v>0.70833333333333337</v>
      </c>
      <c r="D80" s="55">
        <v>0.5</v>
      </c>
      <c r="E80" s="55">
        <v>0.53472222222222221</v>
      </c>
      <c r="F80" s="55">
        <v>0.61458333333333337</v>
      </c>
      <c r="G80" s="55">
        <v>0.625</v>
      </c>
      <c r="H80" s="56">
        <v>1</v>
      </c>
      <c r="I80" s="56" t="s">
        <v>145</v>
      </c>
      <c r="J80" s="56"/>
    </row>
    <row r="81" spans="1:10">
      <c r="A81" s="54">
        <v>46161</v>
      </c>
      <c r="B81" s="55">
        <v>0.36458333333333331</v>
      </c>
      <c r="C81" s="55">
        <v>0.70833333333333337</v>
      </c>
      <c r="D81" s="55">
        <v>0.5</v>
      </c>
      <c r="E81" s="55">
        <v>0.53472222222222221</v>
      </c>
      <c r="F81" s="55">
        <v>0.61458333333333337</v>
      </c>
      <c r="G81" s="55">
        <v>0.625</v>
      </c>
      <c r="H81" s="56">
        <v>1</v>
      </c>
      <c r="I81" s="56" t="s">
        <v>145</v>
      </c>
      <c r="J81" s="56"/>
    </row>
    <row r="82" spans="1:10">
      <c r="A82" s="54">
        <v>46162</v>
      </c>
      <c r="B82" s="55">
        <v>0.36458333333333331</v>
      </c>
      <c r="C82" s="55">
        <v>0.70833333333333337</v>
      </c>
      <c r="D82" s="55">
        <v>0.5</v>
      </c>
      <c r="E82" s="55">
        <v>0.53472222222222221</v>
      </c>
      <c r="F82" s="55">
        <v>0.61458333333333337</v>
      </c>
      <c r="G82" s="55">
        <v>0.625</v>
      </c>
      <c r="H82" s="56">
        <v>1</v>
      </c>
      <c r="I82" s="56" t="s">
        <v>145</v>
      </c>
      <c r="J82" s="56"/>
    </row>
    <row r="83" spans="1:10">
      <c r="A83" s="54">
        <v>46163</v>
      </c>
      <c r="B83" s="55">
        <v>0.36458333333333331</v>
      </c>
      <c r="C83" s="55">
        <v>0.70833333333333337</v>
      </c>
      <c r="D83" s="55">
        <v>0.5</v>
      </c>
      <c r="E83" s="55">
        <v>0.53472222222222221</v>
      </c>
      <c r="F83" s="55">
        <v>0.61458333333333337</v>
      </c>
      <c r="G83" s="55">
        <v>0.625</v>
      </c>
      <c r="H83" s="56">
        <v>1</v>
      </c>
      <c r="I83" s="56" t="s">
        <v>145</v>
      </c>
      <c r="J83" s="56"/>
    </row>
    <row r="84" spans="1:10">
      <c r="A84" s="54">
        <v>46164</v>
      </c>
      <c r="B84" s="55">
        <v>0.36458333333333331</v>
      </c>
      <c r="C84" s="55">
        <v>0.70833333333333337</v>
      </c>
      <c r="D84" s="55">
        <v>0.5</v>
      </c>
      <c r="E84" s="55">
        <v>0.53472222222222221</v>
      </c>
      <c r="F84" s="55">
        <v>0.61458333333333337</v>
      </c>
      <c r="G84" s="55">
        <v>0.625</v>
      </c>
      <c r="H84" s="56">
        <v>1</v>
      </c>
      <c r="I84" s="56" t="s">
        <v>145</v>
      </c>
      <c r="J84" s="56"/>
    </row>
    <row r="85" spans="1:10">
      <c r="A85" s="54">
        <v>46165</v>
      </c>
      <c r="B85" s="55"/>
      <c r="C85" s="55"/>
      <c r="D85" s="55"/>
      <c r="E85" s="55"/>
      <c r="F85" s="55"/>
      <c r="G85" s="55"/>
      <c r="H85" s="56">
        <v>1</v>
      </c>
      <c r="I85" s="56" t="s">
        <v>144</v>
      </c>
      <c r="J85" s="56"/>
    </row>
    <row r="86" spans="1:10">
      <c r="A86" s="54">
        <v>46166</v>
      </c>
      <c r="B86" s="55"/>
      <c r="C86" s="55"/>
      <c r="D86" s="55"/>
      <c r="E86" s="55"/>
      <c r="F86" s="55"/>
      <c r="G86" s="55"/>
      <c r="H86" s="56">
        <v>1</v>
      </c>
      <c r="I86" s="56" t="s">
        <v>144</v>
      </c>
      <c r="J86" s="56"/>
    </row>
    <row r="87" spans="1:10">
      <c r="A87" s="54">
        <v>46167</v>
      </c>
      <c r="B87" s="55">
        <v>0.36458333333333331</v>
      </c>
      <c r="C87" s="55">
        <v>0.70833333333333337</v>
      </c>
      <c r="D87" s="55">
        <v>0.5</v>
      </c>
      <c r="E87" s="55">
        <v>0.53472222222222221</v>
      </c>
      <c r="F87" s="55">
        <v>0.61458333333333337</v>
      </c>
      <c r="G87" s="55">
        <v>0.625</v>
      </c>
      <c r="H87" s="56">
        <v>1</v>
      </c>
      <c r="I87" s="56" t="s">
        <v>145</v>
      </c>
      <c r="J87" s="56"/>
    </row>
    <row r="88" spans="1:10">
      <c r="A88" s="54">
        <v>46168</v>
      </c>
      <c r="B88" s="55">
        <v>0.36458333333333331</v>
      </c>
      <c r="C88" s="55">
        <v>0.70833333333333337</v>
      </c>
      <c r="D88" s="55">
        <v>0.5</v>
      </c>
      <c r="E88" s="55">
        <v>0.53472222222222221</v>
      </c>
      <c r="F88" s="55">
        <v>0.61458333333333337</v>
      </c>
      <c r="G88" s="55">
        <v>0.625</v>
      </c>
      <c r="H88" s="56">
        <v>1</v>
      </c>
      <c r="I88" s="56" t="s">
        <v>145</v>
      </c>
      <c r="J88" s="56"/>
    </row>
    <row r="89" spans="1:10">
      <c r="A89" s="54">
        <v>46169</v>
      </c>
      <c r="B89" s="55">
        <v>0.36458333333333331</v>
      </c>
      <c r="C89" s="55">
        <v>0.70833333333333337</v>
      </c>
      <c r="D89" s="55">
        <v>0.5</v>
      </c>
      <c r="E89" s="55">
        <v>0.53472222222222221</v>
      </c>
      <c r="F89" s="55">
        <v>0.61458333333333337</v>
      </c>
      <c r="G89" s="55">
        <v>0.625</v>
      </c>
      <c r="H89" s="56">
        <v>1</v>
      </c>
      <c r="I89" s="56" t="s">
        <v>145</v>
      </c>
      <c r="J89" s="56"/>
    </row>
    <row r="90" spans="1:10">
      <c r="A90" s="54">
        <v>46170</v>
      </c>
      <c r="B90" s="55">
        <v>0.36458333333333331</v>
      </c>
      <c r="C90" s="55">
        <v>0.70833333333333337</v>
      </c>
      <c r="D90" s="55">
        <v>0.5</v>
      </c>
      <c r="E90" s="55">
        <v>0.53472222222222221</v>
      </c>
      <c r="F90" s="55">
        <v>0.61458333333333337</v>
      </c>
      <c r="G90" s="55">
        <v>0.625</v>
      </c>
      <c r="H90" s="56">
        <v>1</v>
      </c>
      <c r="I90" s="56" t="s">
        <v>145</v>
      </c>
      <c r="J90" s="56"/>
    </row>
    <row r="91" spans="1:10">
      <c r="A91" s="54">
        <v>46171</v>
      </c>
      <c r="B91" s="55">
        <v>0.36458333333333331</v>
      </c>
      <c r="C91" s="55">
        <v>0.70833333333333337</v>
      </c>
      <c r="D91" s="55">
        <v>0.5</v>
      </c>
      <c r="E91" s="55">
        <v>0.53472222222222221</v>
      </c>
      <c r="F91" s="55">
        <v>0.61458333333333337</v>
      </c>
      <c r="G91" s="55">
        <v>0.625</v>
      </c>
      <c r="H91" s="56">
        <v>1</v>
      </c>
      <c r="I91" s="56" t="s">
        <v>145</v>
      </c>
      <c r="J91" s="56"/>
    </row>
    <row r="92" spans="1:10">
      <c r="A92" s="54">
        <v>46172</v>
      </c>
      <c r="B92" s="55"/>
      <c r="C92" s="55"/>
      <c r="D92" s="55"/>
      <c r="E92" s="55"/>
      <c r="F92" s="55"/>
      <c r="G92" s="55"/>
      <c r="H92" s="56">
        <v>1</v>
      </c>
      <c r="I92" s="56" t="s">
        <v>144</v>
      </c>
      <c r="J92" s="56"/>
    </row>
    <row r="93" spans="1:10">
      <c r="A93" s="54">
        <v>46173</v>
      </c>
      <c r="B93" s="55"/>
      <c r="C93" s="55"/>
      <c r="D93" s="55"/>
      <c r="E93" s="55"/>
      <c r="F93" s="55"/>
      <c r="G93" s="55"/>
      <c r="H93" s="56">
        <v>1</v>
      </c>
      <c r="I93" s="56" t="s">
        <v>144</v>
      </c>
      <c r="J93" s="56"/>
    </row>
    <row r="94" spans="1:10">
      <c r="A94" s="54">
        <v>46174</v>
      </c>
      <c r="B94" s="55">
        <v>0.36458333333333331</v>
      </c>
      <c r="C94" s="55">
        <v>0.70833333333333337</v>
      </c>
      <c r="D94" s="55">
        <v>0.5</v>
      </c>
      <c r="E94" s="55">
        <v>0.53472222222222221</v>
      </c>
      <c r="F94" s="55">
        <v>0.61458333333333337</v>
      </c>
      <c r="G94" s="55">
        <v>0.625</v>
      </c>
      <c r="H94" s="56">
        <v>1</v>
      </c>
      <c r="I94" s="56" t="s">
        <v>145</v>
      </c>
      <c r="J94" s="56"/>
    </row>
    <row r="95" spans="1:10">
      <c r="A95" s="54">
        <v>46175</v>
      </c>
      <c r="B95" s="55">
        <v>0.36458333333333331</v>
      </c>
      <c r="C95" s="55">
        <v>0.70833333333333337</v>
      </c>
      <c r="D95" s="55">
        <v>0.5</v>
      </c>
      <c r="E95" s="55">
        <v>0.53472222222222221</v>
      </c>
      <c r="F95" s="55">
        <v>0.61458333333333337</v>
      </c>
      <c r="G95" s="55">
        <v>0.625</v>
      </c>
      <c r="H95" s="56">
        <v>1</v>
      </c>
      <c r="I95" s="56" t="s">
        <v>145</v>
      </c>
      <c r="J95" s="56"/>
    </row>
    <row r="96" spans="1:10">
      <c r="A96" s="54">
        <v>46176</v>
      </c>
      <c r="B96" s="55">
        <v>0.36458333333333331</v>
      </c>
      <c r="C96" s="55">
        <v>0.70833333333333337</v>
      </c>
      <c r="D96" s="55">
        <v>0.5</v>
      </c>
      <c r="E96" s="55">
        <v>0.53472222222222221</v>
      </c>
      <c r="F96" s="55">
        <v>0.61458333333333337</v>
      </c>
      <c r="G96" s="55">
        <v>0.625</v>
      </c>
      <c r="H96" s="56">
        <v>1</v>
      </c>
      <c r="I96" s="56" t="s">
        <v>145</v>
      </c>
      <c r="J96" s="56"/>
    </row>
    <row r="97" spans="1:10">
      <c r="A97" s="54">
        <v>46177</v>
      </c>
      <c r="B97" s="55"/>
      <c r="C97" s="55"/>
      <c r="D97" s="55"/>
      <c r="E97" s="55"/>
      <c r="F97" s="55"/>
      <c r="G97" s="55"/>
      <c r="H97" s="56">
        <v>1</v>
      </c>
      <c r="I97" s="56" t="s">
        <v>144</v>
      </c>
      <c r="J97" s="56"/>
    </row>
    <row r="98" spans="1:10">
      <c r="A98" s="54">
        <v>46178</v>
      </c>
      <c r="B98" s="55"/>
      <c r="C98" s="55"/>
      <c r="D98" s="55"/>
      <c r="E98" s="55"/>
      <c r="F98" s="55"/>
      <c r="G98" s="55"/>
      <c r="H98" s="56">
        <v>1</v>
      </c>
      <c r="I98" s="56" t="s">
        <v>144</v>
      </c>
      <c r="J98" s="56"/>
    </row>
    <row r="99" spans="1:10">
      <c r="A99" s="54">
        <v>46179</v>
      </c>
      <c r="B99" s="55"/>
      <c r="C99" s="55"/>
      <c r="D99" s="55"/>
      <c r="E99" s="55"/>
      <c r="F99" s="55"/>
      <c r="G99" s="55"/>
      <c r="H99" s="56">
        <v>1</v>
      </c>
      <c r="I99" s="56" t="s">
        <v>144</v>
      </c>
      <c r="J99" s="56"/>
    </row>
    <row r="100" spans="1:10">
      <c r="A100" s="54">
        <v>46180</v>
      </c>
      <c r="B100" s="55"/>
      <c r="C100" s="55"/>
      <c r="D100" s="55"/>
      <c r="E100" s="55"/>
      <c r="F100" s="55"/>
      <c r="G100" s="55"/>
      <c r="H100" s="56">
        <v>1</v>
      </c>
      <c r="I100" s="56" t="s">
        <v>144</v>
      </c>
      <c r="J100" s="56"/>
    </row>
    <row r="101" spans="1:10">
      <c r="A101" s="54">
        <v>46181</v>
      </c>
      <c r="B101" s="55">
        <v>0.36458333333333331</v>
      </c>
      <c r="C101" s="55">
        <v>0.70833333333333337</v>
      </c>
      <c r="D101" s="55">
        <v>0.5</v>
      </c>
      <c r="E101" s="55">
        <v>0.53472222222222221</v>
      </c>
      <c r="F101" s="55">
        <v>0.61458333333333337</v>
      </c>
      <c r="G101" s="55">
        <v>0.625</v>
      </c>
      <c r="H101" s="56">
        <v>1</v>
      </c>
      <c r="I101" s="56" t="s">
        <v>145</v>
      </c>
      <c r="J101" s="56"/>
    </row>
    <row r="102" spans="1:10">
      <c r="A102" s="54">
        <v>46182</v>
      </c>
      <c r="B102" s="55">
        <v>0.36458333333333331</v>
      </c>
      <c r="C102" s="55">
        <v>0.70833333333333337</v>
      </c>
      <c r="D102" s="55">
        <v>0.5</v>
      </c>
      <c r="E102" s="55">
        <v>0.53472222222222221</v>
      </c>
      <c r="F102" s="55">
        <v>0.61458333333333337</v>
      </c>
      <c r="G102" s="55">
        <v>0.625</v>
      </c>
      <c r="H102" s="56">
        <v>1</v>
      </c>
      <c r="I102" s="56" t="s">
        <v>145</v>
      </c>
      <c r="J102" s="56"/>
    </row>
    <row r="103" spans="1:10">
      <c r="A103" s="54">
        <v>46183</v>
      </c>
      <c r="B103" s="55">
        <v>0.36458333333333331</v>
      </c>
      <c r="C103" s="55">
        <v>0.70833333333333337</v>
      </c>
      <c r="D103" s="55">
        <v>0.5</v>
      </c>
      <c r="E103" s="55">
        <v>0.53472222222222221</v>
      </c>
      <c r="F103" s="55">
        <v>0.61458333333333337</v>
      </c>
      <c r="G103" s="55">
        <v>0.625</v>
      </c>
      <c r="H103" s="56">
        <v>1</v>
      </c>
      <c r="I103" s="56" t="s">
        <v>145</v>
      </c>
      <c r="J103" s="56"/>
    </row>
    <row r="104" spans="1:10">
      <c r="A104" s="54">
        <v>46184</v>
      </c>
      <c r="B104" s="55">
        <v>0.36458333333333331</v>
      </c>
      <c r="C104" s="55">
        <v>0.70833333333333337</v>
      </c>
      <c r="D104" s="55">
        <v>0.5</v>
      </c>
      <c r="E104" s="55">
        <v>0.53472222222222221</v>
      </c>
      <c r="F104" s="55">
        <v>0.61458333333333337</v>
      </c>
      <c r="G104" s="55">
        <v>0.625</v>
      </c>
      <c r="H104" s="56">
        <v>1</v>
      </c>
      <c r="I104" s="56" t="s">
        <v>145</v>
      </c>
      <c r="J104" s="56"/>
    </row>
    <row r="105" spans="1:10">
      <c r="A105" s="54">
        <v>46185</v>
      </c>
      <c r="B105" s="55">
        <v>0.36458333333333331</v>
      </c>
      <c r="C105" s="55">
        <v>0.70833333333333337</v>
      </c>
      <c r="D105" s="55">
        <v>0.5</v>
      </c>
      <c r="E105" s="55">
        <v>0.53472222222222221</v>
      </c>
      <c r="F105" s="55">
        <v>0.61458333333333337</v>
      </c>
      <c r="G105" s="55">
        <v>0.625</v>
      </c>
      <c r="H105" s="56">
        <v>1</v>
      </c>
      <c r="I105" s="56" t="s">
        <v>145</v>
      </c>
      <c r="J105" s="56"/>
    </row>
    <row r="106" spans="1:10">
      <c r="A106" s="54">
        <v>46186</v>
      </c>
      <c r="B106" s="55"/>
      <c r="C106" s="55"/>
      <c r="D106" s="55"/>
      <c r="E106" s="55"/>
      <c r="F106" s="55"/>
      <c r="G106" s="55"/>
      <c r="H106" s="56">
        <v>1</v>
      </c>
      <c r="I106" s="56" t="s">
        <v>144</v>
      </c>
      <c r="J106" s="56"/>
    </row>
    <row r="107" spans="1:10">
      <c r="A107" s="54">
        <v>46187</v>
      </c>
      <c r="B107" s="55"/>
      <c r="C107" s="55"/>
      <c r="D107" s="55"/>
      <c r="E107" s="55"/>
      <c r="F107" s="55"/>
      <c r="G107" s="55"/>
      <c r="H107" s="56">
        <v>1</v>
      </c>
      <c r="I107" s="56" t="s">
        <v>144</v>
      </c>
      <c r="J107" s="56"/>
    </row>
    <row r="108" spans="1:10">
      <c r="A108" s="54">
        <v>46188</v>
      </c>
      <c r="B108" s="55">
        <v>0.36458333333333331</v>
      </c>
      <c r="C108" s="55">
        <v>0.70833333333333337</v>
      </c>
      <c r="D108" s="55">
        <v>0.5</v>
      </c>
      <c r="E108" s="55">
        <v>0.53472222222222221</v>
      </c>
      <c r="F108" s="55">
        <v>0.61458333333333337</v>
      </c>
      <c r="G108" s="55">
        <v>0.625</v>
      </c>
      <c r="H108" s="56">
        <v>1</v>
      </c>
      <c r="I108" s="56" t="s">
        <v>145</v>
      </c>
      <c r="J108" s="56"/>
    </row>
    <row r="109" spans="1:10">
      <c r="A109" s="54">
        <v>46189</v>
      </c>
      <c r="B109" s="55">
        <v>0.36458333333333331</v>
      </c>
      <c r="C109" s="55">
        <v>0.70833333333333337</v>
      </c>
      <c r="D109" s="55">
        <v>0.5</v>
      </c>
      <c r="E109" s="55">
        <v>0.53472222222222221</v>
      </c>
      <c r="F109" s="55">
        <v>0.61458333333333337</v>
      </c>
      <c r="G109" s="55">
        <v>0.625</v>
      </c>
      <c r="H109" s="56">
        <v>1</v>
      </c>
      <c r="I109" s="56" t="s">
        <v>145</v>
      </c>
      <c r="J109" s="56"/>
    </row>
    <row r="110" spans="1:10">
      <c r="A110" s="54">
        <v>46190</v>
      </c>
      <c r="B110" s="55">
        <v>0.36458333333333331</v>
      </c>
      <c r="C110" s="55">
        <v>0.70833333333333337</v>
      </c>
      <c r="D110" s="55">
        <v>0.5</v>
      </c>
      <c r="E110" s="55">
        <v>0.53472222222222221</v>
      </c>
      <c r="F110" s="55">
        <v>0.61458333333333337</v>
      </c>
      <c r="G110" s="55">
        <v>0.625</v>
      </c>
      <c r="H110" s="56">
        <v>1</v>
      </c>
      <c r="I110" s="56" t="s">
        <v>145</v>
      </c>
      <c r="J110" s="56"/>
    </row>
    <row r="111" spans="1:10">
      <c r="A111" s="54">
        <v>46191</v>
      </c>
      <c r="B111" s="55">
        <v>0.36458333333333331</v>
      </c>
      <c r="C111" s="55">
        <v>0.70833333333333337</v>
      </c>
      <c r="D111" s="55">
        <v>0.5</v>
      </c>
      <c r="E111" s="55">
        <v>0.53472222222222221</v>
      </c>
      <c r="F111" s="55">
        <v>0.61458333333333337</v>
      </c>
      <c r="G111" s="55">
        <v>0.625</v>
      </c>
      <c r="H111" s="56">
        <v>1</v>
      </c>
      <c r="I111" s="56" t="s">
        <v>145</v>
      </c>
      <c r="J111" s="56"/>
    </row>
    <row r="112" spans="1:10">
      <c r="A112" s="54">
        <v>46192</v>
      </c>
      <c r="B112" s="55">
        <v>0.36458333333333331</v>
      </c>
      <c r="C112" s="55">
        <v>0.70833333333333337</v>
      </c>
      <c r="D112" s="55">
        <v>0.5</v>
      </c>
      <c r="E112" s="55">
        <v>0.53472222222222221</v>
      </c>
      <c r="F112" s="55">
        <v>0.61458333333333337</v>
      </c>
      <c r="G112" s="55">
        <v>0.625</v>
      </c>
      <c r="H112" s="56">
        <v>1</v>
      </c>
      <c r="I112" s="56" t="s">
        <v>145</v>
      </c>
      <c r="J112" s="56"/>
    </row>
    <row r="113" spans="1:10">
      <c r="A113" s="54">
        <v>46193</v>
      </c>
      <c r="B113" s="55"/>
      <c r="C113" s="55"/>
      <c r="D113" s="55"/>
      <c r="E113" s="55"/>
      <c r="F113" s="55"/>
      <c r="G113" s="55"/>
      <c r="H113" s="56">
        <v>1</v>
      </c>
      <c r="I113" s="56" t="s">
        <v>144</v>
      </c>
      <c r="J113" s="56"/>
    </row>
    <row r="114" spans="1:10">
      <c r="A114" s="54">
        <v>46194</v>
      </c>
      <c r="B114" s="55"/>
      <c r="C114" s="55"/>
      <c r="D114" s="55"/>
      <c r="E114" s="55"/>
      <c r="F114" s="55"/>
      <c r="G114" s="55"/>
      <c r="H114" s="56">
        <v>1</v>
      </c>
      <c r="I114" s="56" t="s">
        <v>144</v>
      </c>
      <c r="J114" s="56"/>
    </row>
    <row r="115" spans="1:10">
      <c r="A115" s="54">
        <v>46195</v>
      </c>
      <c r="B115" s="55">
        <v>0.36458333333333331</v>
      </c>
      <c r="C115" s="55">
        <v>0.70833333333333337</v>
      </c>
      <c r="D115" s="55">
        <v>0.5</v>
      </c>
      <c r="E115" s="55">
        <v>0.53472222222222221</v>
      </c>
      <c r="F115" s="55">
        <v>0.61458333333333337</v>
      </c>
      <c r="G115" s="55">
        <v>0.625</v>
      </c>
      <c r="H115" s="56">
        <v>1</v>
      </c>
      <c r="I115" s="56" t="s">
        <v>145</v>
      </c>
      <c r="J115" s="56"/>
    </row>
    <row r="116" spans="1:10">
      <c r="A116" s="54">
        <v>46196</v>
      </c>
      <c r="B116" s="55">
        <v>0.36458333333333331</v>
      </c>
      <c r="C116" s="55">
        <v>0.70833333333333337</v>
      </c>
      <c r="D116" s="55">
        <v>0.5</v>
      </c>
      <c r="E116" s="55">
        <v>0.53472222222222221</v>
      </c>
      <c r="F116" s="55">
        <v>0.61458333333333337</v>
      </c>
      <c r="G116" s="55">
        <v>0.625</v>
      </c>
      <c r="H116" s="56">
        <v>1</v>
      </c>
      <c r="I116" s="56" t="s">
        <v>145</v>
      </c>
      <c r="J116" s="56"/>
    </row>
    <row r="117" spans="1:10">
      <c r="A117" s="54">
        <v>46197</v>
      </c>
      <c r="B117" s="55">
        <v>0.36458333333333331</v>
      </c>
      <c r="C117" s="55">
        <v>0.70833333333333337</v>
      </c>
      <c r="D117" s="55">
        <v>0.5</v>
      </c>
      <c r="E117" s="55">
        <v>0.53472222222222221</v>
      </c>
      <c r="F117" s="55">
        <v>0.61458333333333337</v>
      </c>
      <c r="G117" s="55">
        <v>0.625</v>
      </c>
      <c r="H117" s="56">
        <v>1</v>
      </c>
      <c r="I117" s="56" t="s">
        <v>145</v>
      </c>
      <c r="J117" s="56"/>
    </row>
    <row r="118" spans="1:10">
      <c r="A118" s="54">
        <v>46198</v>
      </c>
      <c r="B118" s="55">
        <v>0.36458333333333331</v>
      </c>
      <c r="C118" s="55">
        <v>0.70833333333333337</v>
      </c>
      <c r="D118" s="55">
        <v>0.5</v>
      </c>
      <c r="E118" s="55">
        <v>0.53472222222222221</v>
      </c>
      <c r="F118" s="55">
        <v>0.61458333333333337</v>
      </c>
      <c r="G118" s="55">
        <v>0.625</v>
      </c>
      <c r="H118" s="56">
        <v>1</v>
      </c>
      <c r="I118" s="56" t="s">
        <v>145</v>
      </c>
      <c r="J118" s="56"/>
    </row>
    <row r="119" spans="1:10">
      <c r="A119" s="54">
        <v>46199</v>
      </c>
      <c r="B119" s="55">
        <v>0.36458333333333331</v>
      </c>
      <c r="C119" s="55">
        <v>0.70833333333333337</v>
      </c>
      <c r="D119" s="55">
        <v>0.5</v>
      </c>
      <c r="E119" s="55">
        <v>0.53472222222222221</v>
      </c>
      <c r="F119" s="55">
        <v>0.61458333333333337</v>
      </c>
      <c r="G119" s="55">
        <v>0.625</v>
      </c>
      <c r="H119" s="56">
        <v>1</v>
      </c>
      <c r="I119" s="56" t="s">
        <v>145</v>
      </c>
      <c r="J119" s="56"/>
    </row>
    <row r="120" spans="1:10">
      <c r="A120" s="54">
        <v>46200</v>
      </c>
      <c r="B120" s="55"/>
      <c r="C120" s="55"/>
      <c r="D120" s="55"/>
      <c r="E120" s="55"/>
      <c r="F120" s="55"/>
      <c r="G120" s="55"/>
      <c r="H120" s="56">
        <v>1</v>
      </c>
      <c r="I120" s="56" t="s">
        <v>144</v>
      </c>
      <c r="J120" s="56"/>
    </row>
    <row r="121" spans="1:10">
      <c r="A121" s="54">
        <v>46201</v>
      </c>
      <c r="B121" s="55">
        <v>0.36458333333333331</v>
      </c>
      <c r="C121" s="55">
        <v>0.70833333333333337</v>
      </c>
      <c r="D121" s="55">
        <v>0.5</v>
      </c>
      <c r="E121" s="55">
        <v>0.53472222222222221</v>
      </c>
      <c r="F121" s="55">
        <v>0.61458333333333337</v>
      </c>
      <c r="G121" s="55">
        <v>0.625</v>
      </c>
      <c r="H121" s="56">
        <v>1</v>
      </c>
      <c r="I121" s="56" t="s">
        <v>145</v>
      </c>
      <c r="J121" s="56"/>
    </row>
    <row r="122" spans="1:10">
      <c r="A122" s="54">
        <v>46202</v>
      </c>
      <c r="B122" s="55">
        <v>0.36458333333333331</v>
      </c>
      <c r="C122" s="55">
        <v>0.70833333333333337</v>
      </c>
      <c r="D122" s="55">
        <v>0.5</v>
      </c>
      <c r="E122" s="55">
        <v>0.53472222222222221</v>
      </c>
      <c r="F122" s="55">
        <v>0.61458333333333337</v>
      </c>
      <c r="G122" s="55">
        <v>0.625</v>
      </c>
      <c r="H122" s="56">
        <v>1</v>
      </c>
      <c r="I122" s="56" t="s">
        <v>145</v>
      </c>
      <c r="J122" s="56"/>
    </row>
    <row r="123" spans="1:10">
      <c r="A123" s="54">
        <v>46203</v>
      </c>
      <c r="B123" s="55">
        <v>0.36458333333333331</v>
      </c>
      <c r="C123" s="55">
        <v>0.70833333333333337</v>
      </c>
      <c r="D123" s="55">
        <v>0.5</v>
      </c>
      <c r="E123" s="55">
        <v>0.53472222222222221</v>
      </c>
      <c r="F123" s="55">
        <v>0.61458333333333337</v>
      </c>
      <c r="G123" s="55">
        <v>0.625</v>
      </c>
      <c r="H123" s="56">
        <v>1</v>
      </c>
      <c r="I123" s="56" t="s">
        <v>145</v>
      </c>
      <c r="J123" s="56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8" t="s">
        <v>189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</vt:i4>
      </vt:variant>
    </vt:vector>
  </HeadingPairs>
  <TitlesOfParts>
    <vt:vector size="24" baseType="lpstr">
      <vt:lpstr>メイン</vt:lpstr>
      <vt:lpstr>skills</vt:lpstr>
      <vt:lpstr>組み合わせ表</vt:lpstr>
      <vt:lpstr>need</vt:lpstr>
      <vt:lpstr>3月カレンダー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2026-04-01T03:53:27Z</dcterms:modified>
</cp:coreProperties>
</file>
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641713B2-8D7A-4E3F-BA23-4446755362D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" sheetId="11" r:id="rId1"/>
    <sheet name="skills" sheetId="1" r:id="rId2"/>
    <sheet name="need" sheetId="2" r:id="rId3"/>
    <sheet name="3月カレンダー" sheetId="9" r:id="rId4"/>
    <sheet name="4月カレンダー" sheetId="10" r:id="rId5"/>
    <sheet name="図司　智子" sheetId="3" r:id="rId6"/>
    <sheet name="宮島　　剛" sheetId="4" r:id="rId7"/>
    <sheet name="冨田　裕子" sheetId="5" r:id="rId8"/>
    <sheet name="森岡　真由美" sheetId="6" r:id="rId9"/>
    <sheet name="竹内　正美" sheetId="7" r:id="rId10"/>
    <sheet name="菅沼　めぐみ" sheetId="8" r:id="rId11"/>
    <sheet name="細川　守" sheetId="12" r:id="rId12"/>
    <sheet name="砂田　　奈美" sheetId="13" r:id="rId13"/>
    <sheet name="古家　　淳子" sheetId="14" r:id="rId14"/>
    <sheet name="森下　　誠" sheetId="15" r:id="rId15"/>
    <sheet name="小川　達也" sheetId="16" r:id="rId16"/>
    <sheet name="西田   憲史" sheetId="17" r:id="rId17"/>
    <sheet name="近藤　清高" sheetId="18" r:id="rId18"/>
    <sheet name="桐生　弘幸" sheetId="19" r:id="rId19"/>
    <sheet name="山本" sheetId="20" r:id="rId20"/>
    <sheet name="_FontPick" sheetId="22" state="veryHidden" r:id="rId21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2">need!$A$1:$R$20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  <c r="AK30" i="10" l="1" a="1"/>
  <c r="AK30" i="10"/>
  <c r="AK29" i="10" a="1"/>
  <c r="AK29" i="10" s="1"/>
  <c r="AK28" i="10" a="1"/>
  <c r="AK28" i="10"/>
  <c r="AK31" i="10" s="1"/>
  <c r="AI26" i="10"/>
  <c r="AI25" i="10"/>
  <c r="AI23" i="10"/>
  <c r="AI22" i="10"/>
  <c r="AI21" i="10"/>
  <c r="AI20" i="10"/>
  <c r="AI19" i="10"/>
  <c r="AI29" i="10" s="1" a="1"/>
  <c r="AI29" i="10" s="1"/>
  <c r="AI17" i="10"/>
  <c r="AI16" i="10"/>
  <c r="AI15" i="10"/>
  <c r="AI13" i="10"/>
  <c r="AI12" i="10"/>
  <c r="AI11" i="10"/>
  <c r="AI28" i="10" s="1" a="1"/>
  <c r="AI28" i="10" s="1"/>
  <c r="AI27" i="10" s="1"/>
  <c r="AI9" i="10"/>
  <c r="AI8" i="10"/>
  <c r="AI7" i="10"/>
  <c r="AI6" i="10"/>
  <c r="AI30" i="10" s="1" a="1"/>
  <c r="AI30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C4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B2" i="10"/>
  <c r="A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H13" authorId="0" shapeId="0" xr:uid="{00000000-0006-0000-09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Q13" authorId="0" shapeId="0" xr:uid="{00000000-0006-0000-09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5" authorId="0" shapeId="0" xr:uid="{00000000-0006-0000-09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入学式</t>
        </r>
      </text>
    </comment>
    <comment ref="H17" authorId="0" shapeId="0" xr:uid="{00000000-0006-0000-09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7" authorId="0" shapeId="0" xr:uid="{00000000-0006-0000-09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E20" authorId="0" shapeId="0" xr:uid="{00000000-0006-0000-09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<sst xmlns="http://schemas.openxmlformats.org/spreadsheetml/2006/main" count="1495" uniqueCount="225">
  <si>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</si>
  <si>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</si>
  <si>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</si>
  <si>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</si>
  <si>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</si>
  <si>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</si>
  <si>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</si>
  <si>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</si>
  <si>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</si>
  <si>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</si>
  <si>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依頼NOがJRから始まる場合は2人とする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</si>
  <si>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</si>
  <si>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</si>
  <si>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</si>
  <si>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</si>
  <si>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</si>
  <si>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</si>
  <si>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</si>
  <si>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</si>
  <si>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</si>
  <si>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</si>
  <si>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</si>
  <si>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</si>
  <si>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</si>
  <si>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</si>
  <si>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</si>
  <si>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</si>
  <si>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</si>
  <si>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</si>
  <si>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</si>
  <si>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</si>
  <si>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</si>
  <si>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</si>
  <si>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</si>
  <si>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</si>
  <si>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</si>
  <si>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</si>
  <si>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</si>
  <si>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</si>
  <si>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</si>
  <si>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</si>
  <si>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</si>
  <si>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</si>
  <si>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</si>
  <si>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</si>
  <si>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</si>
  <si>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</si>
  <si>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</si>
  <si>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</si>
  <si>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</si>
  <si>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</si>
  <si>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</si>
  <si>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</si>
  <si>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</si>
  <si>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</si>
  <si>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</si>
  <si>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</si>
  <si>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</si>
  <si>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</si>
  <si>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</si>
  <si>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</si>
  <si>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</si>
  <si>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</si>
  <si>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</si>
  <si>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</si>
  <si>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</si>
  <si>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</si>
  <si>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</si>
  <si>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</si>
  <si>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</si>
  <si>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</si>
  <si>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</si>
  <si>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</si>
  <si>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</si>
  <si>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</si>
  <si>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</si>
  <si>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</si>
  <si>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</si>
  <si>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</si>
  <si>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</si>
  <si>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</si>
  <si>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</si>
  <si>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</si>
  <si>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</si>
  <si>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</si>
  <si>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</si>
  <si>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</si>
  <si>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</si>
  <si>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</si>
  <si>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</si>
  <si>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</si>
  <si>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</si>
  <si>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</si>
  <si>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</si>
  <si>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</si>
  <si>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</si>
  <si>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</si>
  <si>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</si>
  <si>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</si>
  <si>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</si>
  <si>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</si>
  <si>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</si>
  <si>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</si>
  <si>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</si>
  <si>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</si>
  <si>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</si>
  <si>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</si>
  <si>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</si>
  <si>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</si>
  <si>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</si>
  <si>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</si>
  <si>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</si>
  <si>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</si>
  <si>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</si>
  <si>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</si>
  <si>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前休(8:30～12:00休み)</t>
  </si>
  <si>
    <t>交差/年休予定表</t>
  </si>
  <si>
    <t>*</t>
  </si>
  <si>
    <t>年休</t>
  </si>
  <si>
    <t>国/湖</t>
  </si>
  <si>
    <t>交差</t>
  </si>
  <si>
    <t>出</t>
  </si>
  <si>
    <t>出張</t>
  </si>
  <si>
    <t>早/遅</t>
  </si>
  <si>
    <t>欠勤扱い</t>
  </si>
  <si>
    <t>後休(12:45～17:00休み)</t>
  </si>
  <si>
    <t>稼働日数</t>
  </si>
  <si>
    <t>主担当</t>
  </si>
  <si>
    <t>標準工数予定</t>
  </si>
  <si>
    <t>分類</t>
  </si>
  <si>
    <t>時間外</t>
  </si>
  <si>
    <t>細川　守</t>
  </si>
  <si>
    <t>砂田　　奈美</t>
  </si>
  <si>
    <t>砂田　奈美</t>
  </si>
  <si>
    <t>古家　　淳子</t>
  </si>
  <si>
    <t>後休</t>
  </si>
  <si>
    <t>古家　淳子</t>
  </si>
  <si>
    <t>加工</t>
  </si>
  <si>
    <t>宮島　剛</t>
  </si>
  <si>
    <t>前休</t>
  </si>
  <si>
    <t>森下　　誠</t>
  </si>
  <si>
    <t>物流</t>
  </si>
  <si>
    <t>小川　達也</t>
  </si>
  <si>
    <t>西田   憲史</t>
  </si>
  <si>
    <t>西田　憲史</t>
  </si>
  <si>
    <t>近藤　清高</t>
  </si>
  <si>
    <t>桐生　弘幸</t>
  </si>
  <si>
    <t>山本</t>
  </si>
  <si>
    <t>工数合計</t>
  </si>
  <si>
    <t>後加工</t>
  </si>
  <si>
    <t>管理</t>
  </si>
  <si>
    <t>時間外合計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</si>
  <si>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</si>
  <si>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</si>
  <si>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</si>
  <si>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</si>
  <si>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</si>
  <si>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</si>
  <si>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</si>
  <si>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</si>
  <si>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</si>
  <si>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</si>
  <si>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</si>
  <si>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原反名が20010から始まる場合</t>
    <rPh sb="0" eb="3">
      <t>ゲンタンメイ</t>
    </rPh>
    <rPh sb="11" eb="12">
      <t>ハジ</t>
    </rPh>
    <rPh sb="14" eb="16">
      <t>バアイ</t>
    </rPh>
    <phoneticPr fontId="1"/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</si>
  <si>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</si>
  <si>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</si>
  <si>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</si>
  <si>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</si>
  <si>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</si>
  <si>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</si>
  <si>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</si>
  <si>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</si>
  <si>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</si>
  <si>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</si>
  <si>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</si>
  <si>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</si>
  <si>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</si>
  <si>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OP1</t>
    <phoneticPr fontId="1"/>
  </si>
  <si>
    <t>AS1</t>
    <phoneticPr fontId="1"/>
  </si>
  <si>
    <t>OP2</t>
    <phoneticPr fontId="1"/>
  </si>
  <si>
    <t>AS2</t>
    <phoneticPr fontId="1"/>
  </si>
  <si>
    <t>OP3</t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</si>
  <si>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</si>
  <si>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</si>
  <si>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</si>
  <si>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OP4</t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</si>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</sst>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0" fontId="3" fillId="8" borderId="7" xfId="0" applyFont="1" applyFill="1" applyBorder="1">
      <alignment vertical="center"/>
    </xf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181" fontId="9" fillId="10" borderId="8" xfId="0" applyNumberFormat="1" applyFont="1" applyFill="1" applyBorder="1">
      <alignment vertical="center"/>
    </xf>
    <xf numFmtId="182" fontId="9" fillId="10" borderId="8" xfId="0" applyNumberFormat="1" applyFont="1" applyFill="1" applyBorder="1">
      <alignment vertical="center"/>
    </xf>
    <xf numFmtId="0" fontId="9" fillId="10" borderId="8" xfId="0" applyFont="1" applyFill="1" applyBorder="1">
      <alignment vertical="center"/>
    </xf>
    <xf numFmtId="0" fontId="4" fillId="9" borderId="0" xfId="0" applyFont="1" applyFill="1">
      <alignment vertical="center"/>
    </xf>
    <xf numFmtId="0" fontId="10" fillId="0" borderId="0" xfId="0" applyFont="1">
      <alignment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181" fontId="0" fillId="0" borderId="8" xfId="0" applyNumberFormat="1" applyFill="1" applyBorder="1">
      <alignment vertical="center"/>
    </xf>
    <xf numFmtId="182" fontId="0" fillId="0" borderId="8" xfId="0" applyNumberFormat="1" applyFill="1" applyBorder="1">
      <alignment vertical="center"/>
    </xf>
    <xf numFmtId="0" fontId="0" fillId="0" borderId="8" xfId="0" applyFill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[0]!master_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78760" cy="62547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tabSelected="1" workbookViewId="0">
      <selection activeCell="N12" sqref="M11:N12"/>
    </sheetView>
  </sheetViews>
  <sheetFormatPr defaultRowHeight="18.75"/>
  <sheetData>
    <row r="1" spans="1:1">
      <c r="A1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8"/>
  <sheetViews>
    <sheetView zoomScaleNormal="100" workbookViewId="0">
      <selection activeCell="P5" sqref="P5"/>
    </sheetView>
  </sheetViews>
  <sheetFormatPr defaultRowHeight="18.75"/>
  <cols>
    <col min="1" max="1" width="12.625" style="1" bestFit="1" customWidth="1"/>
    <col min="2" max="2" width="11.625" bestFit="1" customWidth="1"/>
    <col min="3" max="4" width="13.125" bestFit="1" customWidth="1"/>
    <col min="5" max="5" width="16.875" bestFit="1" customWidth="1"/>
    <col min="6" max="6" width="17.125" bestFit="1" customWidth="1"/>
    <col min="7" max="7" width="14.125" bestFit="1" customWidth="1"/>
    <col min="8" max="8" width="14.625" bestFit="1" customWidth="1"/>
    <col min="9" max="9" width="16.875" bestFit="1" customWidth="1"/>
    <col min="10" max="11" width="17.125" bestFit="1" customWidth="1"/>
    <col min="12" max="12" width="14.125" bestFit="1" customWidth="1"/>
    <col min="13" max="13" width="16.875" bestFit="1" customWidth="1"/>
    <col min="14" max="14" width="11.625" bestFit="1" customWidth="1"/>
    <col min="15" max="16" width="14.625" bestFit="1" customWidth="1"/>
  </cols>
  <sheetData>
    <row r="1" spans="1:16">
      <c r="A1" s="4" t="s">
        <v>153</v>
      </c>
      <c r="B1" s="4" t="s">
        <v>2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161</v>
      </c>
      <c r="I1" s="4" t="s">
        <v>161</v>
      </c>
      <c r="J1" s="4" t="s">
        <v>161</v>
      </c>
      <c r="K1" s="4" t="s">
        <v>162</v>
      </c>
      <c r="L1" s="4" t="s">
        <v>162</v>
      </c>
      <c r="M1" s="4" t="s">
        <v>162</v>
      </c>
      <c r="N1" s="4" t="s">
        <v>162</v>
      </c>
      <c r="O1" s="4" t="s">
        <v>7</v>
      </c>
      <c r="P1" s="4" t="s">
        <v>183</v>
      </c>
    </row>
    <row r="2" spans="1:16">
      <c r="A2" s="4" t="s">
        <v>154</v>
      </c>
      <c r="B2" s="4" t="s">
        <v>155</v>
      </c>
      <c r="C2" s="4" t="s">
        <v>156</v>
      </c>
      <c r="D2" s="4" t="s">
        <v>156</v>
      </c>
      <c r="E2" s="4" t="s">
        <v>157</v>
      </c>
      <c r="F2" s="4" t="s">
        <v>158</v>
      </c>
      <c r="G2" s="4" t="s">
        <v>159</v>
      </c>
      <c r="H2" s="4" t="s">
        <v>160</v>
      </c>
      <c r="I2" s="4" t="s">
        <v>157</v>
      </c>
      <c r="J2" s="4" t="s">
        <v>158</v>
      </c>
      <c r="K2" s="4" t="s">
        <v>158</v>
      </c>
      <c r="L2" s="4" t="s">
        <v>159</v>
      </c>
      <c r="M2" s="4" t="s">
        <v>157</v>
      </c>
      <c r="N2" s="4" t="s">
        <v>155</v>
      </c>
      <c r="O2" s="17" t="s">
        <v>160</v>
      </c>
      <c r="P2" s="4" t="s">
        <v>160</v>
      </c>
    </row>
    <row r="3" spans="1:16">
      <c r="A3" s="7" t="s">
        <v>109</v>
      </c>
      <c r="B3" s="7"/>
      <c r="C3" s="7" t="s">
        <v>179</v>
      </c>
      <c r="D3" s="7" t="s">
        <v>179</v>
      </c>
      <c r="E3" s="7" t="s">
        <v>179</v>
      </c>
      <c r="F3" s="7" t="s">
        <v>179</v>
      </c>
      <c r="G3" s="7" t="s">
        <v>179</v>
      </c>
      <c r="H3" s="7" t="s">
        <v>179</v>
      </c>
      <c r="I3" s="7" t="s">
        <v>179</v>
      </c>
      <c r="J3" s="7" t="s">
        <v>179</v>
      </c>
      <c r="K3" s="7" t="s">
        <v>179</v>
      </c>
      <c r="L3" s="7" t="s">
        <v>179</v>
      </c>
      <c r="M3" s="7" t="s">
        <v>179</v>
      </c>
      <c r="N3" s="7"/>
      <c r="O3" s="7" t="s">
        <v>181</v>
      </c>
      <c r="P3" s="7" t="s">
        <v>181</v>
      </c>
    </row>
    <row r="4" spans="1:16">
      <c r="A4" s="7" t="s">
        <v>110</v>
      </c>
      <c r="B4" s="7" t="s">
        <v>177</v>
      </c>
      <c r="C4" s="7" t="s">
        <v>177</v>
      </c>
      <c r="D4" s="7" t="s">
        <v>177</v>
      </c>
      <c r="E4" s="7" t="s">
        <v>177</v>
      </c>
      <c r="F4" s="7" t="s">
        <v>177</v>
      </c>
      <c r="G4" s="7" t="s">
        <v>179</v>
      </c>
      <c r="H4" s="7" t="s">
        <v>177</v>
      </c>
      <c r="I4" s="7" t="s">
        <v>179</v>
      </c>
      <c r="J4" s="7" t="s">
        <v>177</v>
      </c>
      <c r="K4" s="7" t="s">
        <v>177</v>
      </c>
      <c r="L4" s="7" t="s">
        <v>177</v>
      </c>
      <c r="M4" s="7" t="s">
        <v>179</v>
      </c>
      <c r="N4" s="7" t="s">
        <v>177</v>
      </c>
      <c r="O4" s="7" t="s">
        <v>179</v>
      </c>
      <c r="P4" s="7" t="s">
        <v>177</v>
      </c>
    </row>
    <row r="5" spans="1:16">
      <c r="A5" s="7" t="s">
        <v>111</v>
      </c>
      <c r="B5" s="7" t="s">
        <v>178</v>
      </c>
      <c r="C5" s="7" t="s">
        <v>177</v>
      </c>
      <c r="D5" s="7" t="s">
        <v>177</v>
      </c>
      <c r="E5" s="7" t="s">
        <v>177</v>
      </c>
      <c r="F5" s="7" t="s">
        <v>177</v>
      </c>
      <c r="G5" s="7" t="s">
        <v>177</v>
      </c>
      <c r="H5" s="7" t="s">
        <v>177</v>
      </c>
      <c r="I5" s="7" t="s">
        <v>177</v>
      </c>
      <c r="J5" s="7" t="s">
        <v>177</v>
      </c>
      <c r="K5" s="7" t="s">
        <v>177</v>
      </c>
      <c r="L5" s="7" t="s">
        <v>177</v>
      </c>
      <c r="M5" s="7" t="s">
        <v>177</v>
      </c>
      <c r="N5" s="7" t="s">
        <v>178</v>
      </c>
      <c r="O5" s="7" t="s">
        <v>177</v>
      </c>
      <c r="P5" s="7" t="s">
        <v>179</v>
      </c>
    </row>
    <row r="6" spans="1:16">
      <c r="A6" s="7" t="s">
        <v>112</v>
      </c>
      <c r="B6" s="7"/>
      <c r="C6" s="7" t="s">
        <v>179</v>
      </c>
      <c r="D6" s="7" t="s">
        <v>179</v>
      </c>
      <c r="E6" s="7" t="s">
        <v>178</v>
      </c>
      <c r="F6" s="7" t="s">
        <v>177</v>
      </c>
      <c r="G6" s="7" t="s">
        <v>177</v>
      </c>
      <c r="H6" s="7" t="s">
        <v>177</v>
      </c>
      <c r="I6" s="7" t="s">
        <v>177</v>
      </c>
      <c r="J6" s="7" t="s">
        <v>177</v>
      </c>
      <c r="K6" s="7" t="s">
        <v>177</v>
      </c>
      <c r="L6" s="7" t="s">
        <v>177</v>
      </c>
      <c r="M6" s="7" t="s">
        <v>177</v>
      </c>
      <c r="N6" s="7"/>
      <c r="O6" s="7" t="s">
        <v>185</v>
      </c>
      <c r="P6" s="7" t="s">
        <v>179</v>
      </c>
    </row>
    <row r="7" spans="1:16">
      <c r="A7" s="7" t="s">
        <v>113</v>
      </c>
      <c r="B7" s="7" t="s">
        <v>177</v>
      </c>
      <c r="C7" s="7" t="s">
        <v>180</v>
      </c>
      <c r="D7" s="7" t="s">
        <v>180</v>
      </c>
      <c r="E7" s="7" t="s">
        <v>178</v>
      </c>
      <c r="F7" s="7" t="s">
        <v>180</v>
      </c>
      <c r="G7" s="7" t="s">
        <v>180</v>
      </c>
      <c r="H7" s="7" t="s">
        <v>177</v>
      </c>
      <c r="I7" s="7" t="s">
        <v>179</v>
      </c>
      <c r="J7" s="7" t="s">
        <v>180</v>
      </c>
      <c r="K7" s="7" t="s">
        <v>180</v>
      </c>
      <c r="L7" s="7" t="s">
        <v>180</v>
      </c>
      <c r="M7" s="7" t="s">
        <v>179</v>
      </c>
      <c r="N7" s="7" t="s">
        <v>177</v>
      </c>
      <c r="O7" s="7" t="s">
        <v>177</v>
      </c>
      <c r="P7" s="7" t="s">
        <v>177</v>
      </c>
    </row>
    <row r="8" spans="1:16">
      <c r="A8" s="7" t="s">
        <v>114</v>
      </c>
      <c r="B8" s="7"/>
      <c r="C8" s="7" t="s">
        <v>178</v>
      </c>
      <c r="D8" s="7" t="s">
        <v>178</v>
      </c>
      <c r="E8" s="7" t="s">
        <v>178</v>
      </c>
      <c r="F8" s="7" t="s">
        <v>178</v>
      </c>
      <c r="G8" s="7" t="s">
        <v>178</v>
      </c>
      <c r="H8" s="7" t="s">
        <v>178</v>
      </c>
      <c r="I8" s="7" t="s">
        <v>178</v>
      </c>
      <c r="J8" s="7" t="s">
        <v>178</v>
      </c>
      <c r="K8" s="7" t="s">
        <v>178</v>
      </c>
      <c r="L8" s="7" t="s">
        <v>178</v>
      </c>
      <c r="M8" s="7" t="s">
        <v>178</v>
      </c>
      <c r="N8" s="7"/>
      <c r="O8" s="7" t="s">
        <v>179</v>
      </c>
      <c r="P8" s="7" t="s">
        <v>180</v>
      </c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R106"/>
  <sheetViews>
    <sheetView zoomScaleNormal="100" workbookViewId="0">
      <selection activeCell="A4" sqref="A4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38.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1" width="14.625" style="6" bestFit="1" customWidth="1"/>
    <col min="12" max="12" width="16.875" style="6" bestFit="1" customWidth="1"/>
    <col min="13" max="14" width="17.125" style="6" bestFit="1" customWidth="1"/>
    <col min="15" max="15" width="14.125" style="6" bestFit="1" customWidth="1"/>
    <col min="16" max="16" width="16.875" style="6" bestFit="1" customWidth="1"/>
    <col min="17" max="17" width="11.625" style="6" bestFit="1" customWidth="1"/>
    <col min="18" max="18" width="14.625" style="6" bestFit="1" customWidth="1"/>
    <col min="19" max="16384" width="8.75" style="6"/>
  </cols>
  <sheetData>
    <row r="1" spans="1:18">
      <c r="A1" s="4" t="s">
        <v>153</v>
      </c>
      <c r="B1" s="4"/>
      <c r="C1" s="5"/>
      <c r="D1" s="4" t="s">
        <v>2</v>
      </c>
      <c r="E1" s="4" t="s">
        <v>182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161</v>
      </c>
      <c r="K1" s="4" t="s">
        <v>183</v>
      </c>
      <c r="L1" s="4" t="s">
        <v>161</v>
      </c>
      <c r="M1" s="4" t="s">
        <v>161</v>
      </c>
      <c r="N1" s="4" t="s">
        <v>162</v>
      </c>
      <c r="O1" s="4" t="s">
        <v>162</v>
      </c>
      <c r="P1" s="4" t="s">
        <v>162</v>
      </c>
      <c r="Q1" s="4" t="s">
        <v>162</v>
      </c>
      <c r="R1" s="4" t="s">
        <v>7</v>
      </c>
    </row>
    <row r="2" spans="1:18">
      <c r="A2" s="4" t="s">
        <v>154</v>
      </c>
      <c r="B2" s="4"/>
      <c r="C2" s="4"/>
      <c r="D2" s="4" t="s">
        <v>155</v>
      </c>
      <c r="E2" s="4" t="s">
        <v>156</v>
      </c>
      <c r="F2" s="4" t="s">
        <v>156</v>
      </c>
      <c r="G2" s="4" t="s">
        <v>157</v>
      </c>
      <c r="H2" s="4" t="s">
        <v>158</v>
      </c>
      <c r="I2" s="4" t="s">
        <v>159</v>
      </c>
      <c r="J2" s="4" t="s">
        <v>160</v>
      </c>
      <c r="K2" s="4" t="s">
        <v>160</v>
      </c>
      <c r="L2" s="4" t="s">
        <v>157</v>
      </c>
      <c r="M2" s="4" t="s">
        <v>158</v>
      </c>
      <c r="N2" s="4" t="s">
        <v>158</v>
      </c>
      <c r="O2" s="4" t="s">
        <v>159</v>
      </c>
      <c r="P2" s="4" t="s">
        <v>157</v>
      </c>
      <c r="Q2" s="4" t="s">
        <v>155</v>
      </c>
      <c r="R2" s="4" t="s">
        <v>160</v>
      </c>
    </row>
    <row r="3" spans="1:18">
      <c r="A3" s="4" t="s">
        <v>164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>
      <c r="A4" s="8" t="s">
        <v>152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</row>
    <row r="5" spans="1:18">
      <c r="A5" s="8" t="s">
        <v>184</v>
      </c>
      <c r="B5" s="9"/>
      <c r="C5" s="9"/>
      <c r="D5" s="9">
        <v>1</v>
      </c>
      <c r="E5" s="9">
        <v>1</v>
      </c>
      <c r="F5" s="9">
        <v>1</v>
      </c>
      <c r="G5" s="9"/>
      <c r="H5" s="9">
        <v>1</v>
      </c>
      <c r="I5" s="9"/>
      <c r="J5" s="9"/>
      <c r="K5" s="9">
        <v>1</v>
      </c>
      <c r="L5" s="9"/>
      <c r="M5" s="9"/>
      <c r="N5" s="9"/>
      <c r="O5" s="9"/>
      <c r="P5" s="9"/>
      <c r="Q5" s="9"/>
      <c r="R5" s="9">
        <v>1</v>
      </c>
    </row>
    <row r="6" spans="1:18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>
      <c r="A7" s="4" t="s">
        <v>8</v>
      </c>
      <c r="B7" s="7" t="s">
        <v>9</v>
      </c>
      <c r="C7" s="12" t="s">
        <v>10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4" t="s">
        <v>11</v>
      </c>
      <c r="B8" s="7"/>
      <c r="C8" s="13" t="s">
        <v>163</v>
      </c>
      <c r="D8" s="12">
        <v>3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4" t="s">
        <v>12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4" t="s">
        <v>13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4" t="s">
        <v>14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4" t="s">
        <v>15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4" t="s">
        <v>16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4" t="s">
        <v>17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4" t="s">
        <v>18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4" t="s">
        <v>19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4" t="s">
        <v>20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4" t="s">
        <v>21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4" t="s">
        <v>22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4" t="s">
        <v>23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4" t="s">
        <v>24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4" t="s">
        <v>25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4" t="s">
        <v>26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4" t="s">
        <v>27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4" t="s">
        <v>28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4" t="s">
        <v>29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4" t="s">
        <v>30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4" t="s">
        <v>31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4" t="s">
        <v>32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4" t="s">
        <v>33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4" t="s">
        <v>34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4" t="s">
        <v>35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>
      <c r="A33" s="4" t="s">
        <v>36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>
      <c r="A34" s="4" t="s">
        <v>37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>
      <c r="A35" s="4" t="s">
        <v>38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>
      <c r="A36" s="4" t="s">
        <v>39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>
      <c r="A37" s="4" t="s">
        <v>40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>
      <c r="A38" s="4" t="s">
        <v>41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>
      <c r="A39" s="4" t="s">
        <v>42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>
      <c r="A40" s="4" t="s">
        <v>43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>
      <c r="A41" s="4" t="s">
        <v>44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>
      <c r="A42" s="4" t="s">
        <v>45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>
      <c r="A43" s="4" t="s">
        <v>46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>
      <c r="A44" s="4" t="s">
        <v>47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>
      <c r="A45" s="4" t="s">
        <v>48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>
      <c r="A46" s="4" t="s">
        <v>49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>
      <c r="A47" s="4" t="s">
        <v>50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>
      <c r="A48" s="4" t="s">
        <v>51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>
      <c r="A49" s="4" t="s">
        <v>52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>
      <c r="A50" s="4" t="s">
        <v>53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>
      <c r="A51" s="4" t="s">
        <v>54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>
      <c r="A52" s="4" t="s">
        <v>55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>
      <c r="A53" s="4" t="s">
        <v>56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>
      <c r="A54" s="4" t="s">
        <v>57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>
      <c r="A55" s="4" t="s">
        <v>58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>
      <c r="A56" s="4" t="s">
        <v>59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>
      <c r="A57" s="4" t="s">
        <v>60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>
      <c r="A58" s="4" t="s">
        <v>61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>
      <c r="A59" s="4" t="s">
        <v>62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>
      <c r="A60" s="4" t="s">
        <v>63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>
      <c r="A61" s="4" t="s">
        <v>64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>
      <c r="A62" s="4" t="s">
        <v>65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>
      <c r="A63" s="4" t="s">
        <v>66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>
      <c r="A64" s="4" t="s">
        <v>67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>
      <c r="A65" s="4" t="s">
        <v>68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>
      <c r="A66" s="4" t="s">
        <v>69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>
      <c r="A67" s="4" t="s">
        <v>70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>
      <c r="A68" s="4" t="s">
        <v>71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>
      <c r="A69" s="4" t="s">
        <v>72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>
      <c r="A70" s="4" t="s">
        <v>73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>
      <c r="A71" s="4" t="s">
        <v>74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>
      <c r="A72" s="4" t="s">
        <v>75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>
      <c r="A73" s="4" t="s">
        <v>76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>
      <c r="A74" s="4" t="s">
        <v>77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>
      <c r="A75" s="4" t="s">
        <v>78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>
      <c r="A76" s="4" t="s">
        <v>79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>
      <c r="A77" s="4" t="s">
        <v>80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>
      <c r="A78" s="4" t="s">
        <v>81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>
      <c r="A79" s="4" t="s">
        <v>82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>
      <c r="A80" s="4" t="s">
        <v>83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>
      <c r="A81" s="4" t="s">
        <v>84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>
      <c r="A82" s="4" t="s">
        <v>85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>
      <c r="A83" s="4" t="s">
        <v>86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>
      <c r="A84" s="4" t="s">
        <v>87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>
      <c r="A85" s="4" t="s">
        <v>88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>
      <c r="A86" s="4" t="s">
        <v>89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>
      <c r="A87" s="4" t="s">
        <v>90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>
      <c r="A88" s="4" t="s">
        <v>91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>
      <c r="A89" s="4" t="s">
        <v>92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>
      <c r="A90" s="4" t="s">
        <v>93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>
      <c r="A91" s="4" t="s">
        <v>94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>
      <c r="A92" s="4" t="s">
        <v>95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>
      <c r="A93" s="4" t="s">
        <v>96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>
      <c r="A94" s="4" t="s">
        <v>97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>
      <c r="A95" s="4" t="s">
        <v>98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>
      <c r="A96" s="4" t="s">
        <v>99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>
      <c r="A97" s="4" t="s">
        <v>100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>
      <c r="A98" s="4" t="s">
        <v>101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>
      <c r="A99" s="4" t="s">
        <v>102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>
      <c r="A100" s="4" t="s">
        <v>103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>
      <c r="A101" s="4" t="s">
        <v>104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>
      <c r="A102" s="4" t="s">
        <v>105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>
      <c r="A103" s="4" t="s">
        <v>106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>
      <c r="A104" s="4" t="s">
        <v>107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>
      <c r="A105" s="4" t="s">
        <v>108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H6" activePane="bottomRight" state="frozenSplit"/>
      <selection pane="topRight" activeCell="B1" sqref="B1"/>
      <selection pane="bottomLeft" activeCell="A6" sqref="A6"/>
      <selection pane="bottomRight" activeCell="AF12" sqref="AF12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customWidth="1"/>
    <col min="4" max="4" width="16.5" bestFit="1" customWidth="1"/>
    <col min="5" max="6" width="3.625" customWidth="1"/>
    <col min="7" max="7" width="5.5" bestFit="1" customWidth="1"/>
    <col min="8" max="10" width="3.625" customWidth="1"/>
    <col min="11" max="12" width="5.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8" width="4.375" bestFit="1" customWidth="1"/>
    <col min="19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5" width="4.625" bestFit="1" customWidth="1"/>
    <col min="26" max="26" width="5.5" bestFit="1" customWidth="1"/>
    <col min="27" max="27" width="4.625" bestFit="1" customWidth="1"/>
    <col min="28" max="28" width="26.5" bestFit="1" customWidth="1"/>
    <col min="29" max="31" width="4.625" bestFit="1" customWidth="1"/>
    <col min="32" max="32" width="5.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7.75" bestFit="1" customWidth="1"/>
    <col min="38" max="38" width="3.625" customWidth="1"/>
  </cols>
  <sheetData>
    <row r="1" spans="1:38" ht="19.149999999999999" customHeight="1" thickBot="1">
      <c r="A1" s="18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9" t="s">
        <v>186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20">
        <f>YEAR(A1)</f>
        <v>2026</v>
      </c>
      <c r="B2" s="21">
        <f>MONTH(A1)</f>
        <v>3</v>
      </c>
      <c r="C2" s="6"/>
      <c r="D2" s="22" t="s">
        <v>187</v>
      </c>
      <c r="E2" s="6"/>
      <c r="F2" s="6"/>
      <c r="G2" s="6"/>
      <c r="H2" s="6"/>
      <c r="I2" s="6"/>
      <c r="J2" s="19" t="s">
        <v>188</v>
      </c>
      <c r="K2" s="19" t="s">
        <v>189</v>
      </c>
      <c r="L2" s="23"/>
      <c r="M2" s="6"/>
      <c r="N2" s="19" t="s">
        <v>190</v>
      </c>
      <c r="O2" s="19"/>
      <c r="P2" s="19" t="s">
        <v>191</v>
      </c>
      <c r="Q2" s="19"/>
      <c r="R2" s="6"/>
      <c r="S2" s="19" t="s">
        <v>192</v>
      </c>
      <c r="T2" s="6" t="s">
        <v>193</v>
      </c>
      <c r="U2" s="6"/>
      <c r="V2" s="24" t="s">
        <v>194</v>
      </c>
      <c r="W2" s="25"/>
      <c r="X2" s="26" t="s">
        <v>195</v>
      </c>
      <c r="Y2" s="25"/>
      <c r="Z2" s="27"/>
      <c r="AA2" s="6"/>
      <c r="AB2" s="19" t="s">
        <v>196</v>
      </c>
      <c r="AC2" s="6"/>
      <c r="AD2" s="6"/>
      <c r="AE2" s="6"/>
      <c r="AF2" s="6"/>
      <c r="AG2" s="6"/>
      <c r="AH2" s="6"/>
      <c r="AI2" s="7" t="s">
        <v>197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8"/>
      <c r="B4" s="50"/>
      <c r="C4" s="29">
        <f>DATEVALUE(A2&amp;"/"&amp;B2&amp;"/1")</f>
        <v>46082</v>
      </c>
      <c r="D4" s="51">
        <f>C4+1</f>
        <v>46083</v>
      </c>
      <c r="E4" s="30">
        <f t="shared" ref="E4:T5" si="0">D4+1</f>
        <v>46084</v>
      </c>
      <c r="F4" s="30">
        <f t="shared" si="0"/>
        <v>46085</v>
      </c>
      <c r="G4" s="30">
        <f t="shared" si="0"/>
        <v>46086</v>
      </c>
      <c r="H4" s="30">
        <f t="shared" si="0"/>
        <v>46087</v>
      </c>
      <c r="I4" s="29">
        <f t="shared" si="0"/>
        <v>46088</v>
      </c>
      <c r="J4" s="29">
        <f t="shared" si="0"/>
        <v>46089</v>
      </c>
      <c r="K4" s="30">
        <f t="shared" si="0"/>
        <v>46090</v>
      </c>
      <c r="L4" s="30">
        <f t="shared" si="0"/>
        <v>46091</v>
      </c>
      <c r="M4" s="30">
        <f t="shared" si="0"/>
        <v>46092</v>
      </c>
      <c r="N4" s="51">
        <f t="shared" si="0"/>
        <v>46093</v>
      </c>
      <c r="O4" s="30">
        <f t="shared" si="0"/>
        <v>46094</v>
      </c>
      <c r="P4" s="29">
        <f t="shared" si="0"/>
        <v>46095</v>
      </c>
      <c r="Q4" s="29">
        <f t="shared" si="0"/>
        <v>46096</v>
      </c>
      <c r="R4" s="30">
        <f t="shared" si="0"/>
        <v>46097</v>
      </c>
      <c r="S4" s="30">
        <f t="shared" si="0"/>
        <v>46098</v>
      </c>
      <c r="T4" s="30">
        <f t="shared" si="0"/>
        <v>46099</v>
      </c>
      <c r="U4" s="30">
        <f t="shared" ref="U4:AC5" si="1">T4+1</f>
        <v>46100</v>
      </c>
      <c r="V4" s="30">
        <f t="shared" si="1"/>
        <v>46101</v>
      </c>
      <c r="W4" s="29">
        <f t="shared" si="1"/>
        <v>46102</v>
      </c>
      <c r="X4" s="29">
        <f t="shared" si="1"/>
        <v>46103</v>
      </c>
      <c r="Y4" s="51">
        <f t="shared" si="1"/>
        <v>46104</v>
      </c>
      <c r="Z4" s="30">
        <f t="shared" si="1"/>
        <v>46105</v>
      </c>
      <c r="AA4" s="30">
        <f t="shared" si="1"/>
        <v>46106</v>
      </c>
      <c r="AB4" s="30">
        <f t="shared" si="1"/>
        <v>46107</v>
      </c>
      <c r="AC4" s="30">
        <f t="shared" si="1"/>
        <v>46108</v>
      </c>
      <c r="AD4" s="31">
        <f>AC4+1</f>
        <v>46109</v>
      </c>
      <c r="AE4" s="31">
        <f t="shared" ref="AE4:AG5" si="2">AD4+1</f>
        <v>46110</v>
      </c>
      <c r="AF4" s="30">
        <f t="shared" si="2"/>
        <v>46111</v>
      </c>
      <c r="AG4" s="30">
        <f t="shared" si="2"/>
        <v>46112</v>
      </c>
      <c r="AH4" s="32"/>
      <c r="AI4" s="33">
        <v>20</v>
      </c>
      <c r="AJ4" s="6"/>
      <c r="AK4" s="6"/>
      <c r="AL4" s="32"/>
    </row>
    <row r="5" spans="1:38" ht="19.149999999999999" customHeight="1">
      <c r="A5" s="28"/>
      <c r="B5" s="52" t="s">
        <v>198</v>
      </c>
      <c r="C5" s="34">
        <f>C4</f>
        <v>46082</v>
      </c>
      <c r="D5" s="53">
        <f>C5+1</f>
        <v>46083</v>
      </c>
      <c r="E5" s="35">
        <f t="shared" si="0"/>
        <v>46084</v>
      </c>
      <c r="F5" s="35">
        <f t="shared" si="0"/>
        <v>46085</v>
      </c>
      <c r="G5" s="35">
        <f t="shared" si="0"/>
        <v>46086</v>
      </c>
      <c r="H5" s="35">
        <f t="shared" si="0"/>
        <v>46087</v>
      </c>
      <c r="I5" s="34">
        <f t="shared" si="0"/>
        <v>46088</v>
      </c>
      <c r="J5" s="34">
        <f t="shared" si="0"/>
        <v>46089</v>
      </c>
      <c r="K5" s="35">
        <f t="shared" si="0"/>
        <v>46090</v>
      </c>
      <c r="L5" s="35">
        <f t="shared" si="0"/>
        <v>46091</v>
      </c>
      <c r="M5" s="35">
        <f t="shared" si="0"/>
        <v>46092</v>
      </c>
      <c r="N5" s="53">
        <f t="shared" si="0"/>
        <v>46093</v>
      </c>
      <c r="O5" s="35">
        <f t="shared" si="0"/>
        <v>46094</v>
      </c>
      <c r="P5" s="34">
        <f t="shared" si="0"/>
        <v>46095</v>
      </c>
      <c r="Q5" s="34">
        <f t="shared" si="0"/>
        <v>46096</v>
      </c>
      <c r="R5" s="35">
        <f t="shared" si="0"/>
        <v>46097</v>
      </c>
      <c r="S5" s="35">
        <f t="shared" si="0"/>
        <v>46098</v>
      </c>
      <c r="T5" s="35">
        <f t="shared" si="0"/>
        <v>46099</v>
      </c>
      <c r="U5" s="35">
        <f t="shared" si="1"/>
        <v>46100</v>
      </c>
      <c r="V5" s="35">
        <f t="shared" si="1"/>
        <v>46101</v>
      </c>
      <c r="W5" s="34">
        <f t="shared" si="1"/>
        <v>46102</v>
      </c>
      <c r="X5" s="34">
        <f t="shared" si="1"/>
        <v>46103</v>
      </c>
      <c r="Y5" s="53">
        <f t="shared" si="1"/>
        <v>46104</v>
      </c>
      <c r="Z5" s="35">
        <f t="shared" si="1"/>
        <v>46105</v>
      </c>
      <c r="AA5" s="35">
        <f t="shared" si="1"/>
        <v>46106</v>
      </c>
      <c r="AB5" s="35">
        <f t="shared" si="1"/>
        <v>46107</v>
      </c>
      <c r="AC5" s="35">
        <f t="shared" si="1"/>
        <v>46108</v>
      </c>
      <c r="AD5" s="36">
        <f>AC5+1</f>
        <v>46109</v>
      </c>
      <c r="AE5" s="36">
        <f t="shared" si="2"/>
        <v>46110</v>
      </c>
      <c r="AF5" s="35">
        <f t="shared" si="2"/>
        <v>46111</v>
      </c>
      <c r="AG5" s="35">
        <f t="shared" si="2"/>
        <v>46112</v>
      </c>
      <c r="AH5" s="37"/>
      <c r="AI5" s="38" t="s">
        <v>199</v>
      </c>
      <c r="AJ5" s="7" t="s">
        <v>200</v>
      </c>
      <c r="AK5" s="7" t="s">
        <v>201</v>
      </c>
      <c r="AL5" s="37"/>
    </row>
    <row r="6" spans="1:38" ht="19.149999999999999" customHeight="1">
      <c r="A6" s="28" t="s">
        <v>202</v>
      </c>
      <c r="B6" s="52"/>
      <c r="C6" s="39"/>
      <c r="D6" s="52"/>
      <c r="E6" s="40"/>
      <c r="F6" s="40"/>
      <c r="G6" s="40"/>
      <c r="H6" s="40"/>
      <c r="I6" s="39"/>
      <c r="J6" s="39"/>
      <c r="K6" s="40"/>
      <c r="L6" s="40"/>
      <c r="M6" s="40"/>
      <c r="N6" s="52"/>
      <c r="O6" s="41" t="s">
        <v>188</v>
      </c>
      <c r="P6" s="39"/>
      <c r="Q6" s="39"/>
      <c r="R6" s="41" t="s">
        <v>188</v>
      </c>
      <c r="S6" s="40"/>
      <c r="T6" s="40"/>
      <c r="U6" s="40"/>
      <c r="V6" s="40"/>
      <c r="W6" s="39"/>
      <c r="X6" s="39"/>
      <c r="Y6" s="52"/>
      <c r="Z6" s="40"/>
      <c r="AA6" s="40"/>
      <c r="AB6" s="40"/>
      <c r="AC6" s="40"/>
      <c r="AD6" s="42"/>
      <c r="AE6" s="42"/>
      <c r="AF6" s="52"/>
      <c r="AG6" s="52"/>
      <c r="AH6" s="28" t="s">
        <v>202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149999999999999" customHeight="1">
      <c r="A7" s="28"/>
      <c r="B7" s="52"/>
      <c r="C7" s="39"/>
      <c r="D7" s="52"/>
      <c r="E7" s="40"/>
      <c r="F7" s="40"/>
      <c r="G7" s="40"/>
      <c r="H7" s="40"/>
      <c r="I7" s="39"/>
      <c r="J7" s="39"/>
      <c r="K7" s="40"/>
      <c r="L7" s="40"/>
      <c r="M7" s="40"/>
      <c r="N7" s="52"/>
      <c r="O7" s="40"/>
      <c r="P7" s="39"/>
      <c r="Q7" s="39"/>
      <c r="R7" s="40"/>
      <c r="S7" s="40"/>
      <c r="T7" s="40"/>
      <c r="U7" s="40"/>
      <c r="V7" s="40"/>
      <c r="W7" s="39"/>
      <c r="X7" s="39"/>
      <c r="Y7" s="52"/>
      <c r="Z7" s="40"/>
      <c r="AA7" s="40"/>
      <c r="AB7" s="40"/>
      <c r="AC7" s="40"/>
      <c r="AD7" s="42"/>
      <c r="AE7" s="42"/>
      <c r="AF7" s="52"/>
      <c r="AG7" s="52"/>
      <c r="AH7" s="28"/>
      <c r="AI7" s="43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149999999999999" customHeight="1">
      <c r="A8" s="28" t="s">
        <v>203</v>
      </c>
      <c r="B8" s="52"/>
      <c r="C8" s="39"/>
      <c r="D8" s="52"/>
      <c r="E8" s="40"/>
      <c r="F8" s="40"/>
      <c r="G8" s="40"/>
      <c r="H8" s="40"/>
      <c r="I8" s="39"/>
      <c r="J8" s="39"/>
      <c r="K8" s="40"/>
      <c r="L8" s="40"/>
      <c r="M8" s="40"/>
      <c r="N8" s="52"/>
      <c r="O8" s="40"/>
      <c r="P8" s="39"/>
      <c r="Q8" s="39"/>
      <c r="R8" s="40"/>
      <c r="S8" s="40"/>
      <c r="T8" s="40"/>
      <c r="U8" s="40"/>
      <c r="V8" s="41" t="s">
        <v>188</v>
      </c>
      <c r="W8" s="39"/>
      <c r="X8" s="39"/>
      <c r="Y8" s="52"/>
      <c r="Z8" s="40"/>
      <c r="AA8" s="40"/>
      <c r="AB8" s="40"/>
      <c r="AC8" s="40"/>
      <c r="AD8" s="42"/>
      <c r="AE8" s="42"/>
      <c r="AF8" s="52"/>
      <c r="AG8" s="52"/>
      <c r="AH8" s="28" t="s">
        <v>133</v>
      </c>
      <c r="AI8" s="43">
        <f t="shared" si="3"/>
        <v>141.55000000000001</v>
      </c>
      <c r="AJ8" s="7">
        <v>0</v>
      </c>
      <c r="AK8" s="43">
        <v>7.25</v>
      </c>
      <c r="AL8" s="6"/>
    </row>
    <row r="9" spans="1:38" ht="19.149999999999999" customHeight="1">
      <c r="A9" s="28" t="s">
        <v>134</v>
      </c>
      <c r="B9" s="52"/>
      <c r="C9" s="39"/>
      <c r="D9" s="41" t="s">
        <v>204</v>
      </c>
      <c r="E9" s="41" t="s">
        <v>204</v>
      </c>
      <c r="F9" s="41" t="s">
        <v>204</v>
      </c>
      <c r="G9" s="41" t="s">
        <v>204</v>
      </c>
      <c r="H9" s="41" t="s">
        <v>204</v>
      </c>
      <c r="I9" s="39"/>
      <c r="J9" s="39"/>
      <c r="K9" s="40"/>
      <c r="L9" s="40"/>
      <c r="M9" s="40"/>
      <c r="N9" s="52"/>
      <c r="O9" s="40"/>
      <c r="P9" s="39"/>
      <c r="Q9" s="39"/>
      <c r="R9" s="40"/>
      <c r="S9" s="40"/>
      <c r="T9" s="40"/>
      <c r="U9" s="40"/>
      <c r="V9" s="41" t="s">
        <v>188</v>
      </c>
      <c r="W9" s="39"/>
      <c r="X9" s="39"/>
      <c r="Y9" s="52"/>
      <c r="Z9" s="40"/>
      <c r="AA9" s="40"/>
      <c r="AB9" s="41" t="s">
        <v>205</v>
      </c>
      <c r="AC9" s="40"/>
      <c r="AD9" s="42"/>
      <c r="AE9" s="42"/>
      <c r="AF9" s="52"/>
      <c r="AG9" s="52"/>
      <c r="AH9" s="28" t="s">
        <v>136</v>
      </c>
      <c r="AI9" s="43">
        <f t="shared" si="3"/>
        <v>100.15</v>
      </c>
      <c r="AJ9" s="7">
        <v>0</v>
      </c>
      <c r="AK9" s="43">
        <v>0.25</v>
      </c>
      <c r="AL9" s="6"/>
    </row>
    <row r="10" spans="1:38" ht="19.149999999999999" customHeight="1">
      <c r="A10" s="28"/>
      <c r="B10" s="52"/>
      <c r="C10" s="39"/>
      <c r="D10" s="52"/>
      <c r="E10" s="40"/>
      <c r="F10" s="40"/>
      <c r="G10" s="40"/>
      <c r="H10" s="40"/>
      <c r="I10" s="39"/>
      <c r="J10" s="39"/>
      <c r="K10" s="40"/>
      <c r="L10" s="40"/>
      <c r="M10" s="40"/>
      <c r="N10" s="52"/>
      <c r="O10" s="40"/>
      <c r="P10" s="39"/>
      <c r="Q10" s="39"/>
      <c r="R10" s="40"/>
      <c r="S10" s="40"/>
      <c r="T10" s="40"/>
      <c r="U10" s="40"/>
      <c r="V10" s="40"/>
      <c r="W10" s="39"/>
      <c r="X10" s="39"/>
      <c r="Y10" s="52"/>
      <c r="Z10" s="40"/>
      <c r="AA10" s="40"/>
      <c r="AB10" s="40"/>
      <c r="AC10" s="40"/>
      <c r="AD10" s="42"/>
      <c r="AE10" s="42"/>
      <c r="AF10" s="52"/>
      <c r="AG10" s="52"/>
      <c r="AH10" s="28"/>
      <c r="AI10" s="43"/>
      <c r="AJ10" s="7"/>
      <c r="AK10" s="43"/>
      <c r="AL10" s="6"/>
    </row>
    <row r="11" spans="1:38" ht="19.149999999999999" customHeight="1">
      <c r="A11" s="28" t="s">
        <v>206</v>
      </c>
      <c r="B11" s="52" t="s">
        <v>207</v>
      </c>
      <c r="C11" s="39"/>
      <c r="D11" s="52"/>
      <c r="E11" s="40"/>
      <c r="F11" s="41" t="s">
        <v>188</v>
      </c>
      <c r="G11" s="40"/>
      <c r="H11" s="40"/>
      <c r="I11" s="39"/>
      <c r="J11" s="39"/>
      <c r="K11" s="40"/>
      <c r="L11" s="40"/>
      <c r="M11" s="40"/>
      <c r="N11" s="52"/>
      <c r="O11" s="40"/>
      <c r="P11" s="39"/>
      <c r="Q11" s="39"/>
      <c r="R11" s="40"/>
      <c r="S11" s="40"/>
      <c r="T11" s="40"/>
      <c r="U11" s="40"/>
      <c r="V11" s="40"/>
      <c r="W11" s="39"/>
      <c r="X11" s="39"/>
      <c r="Y11" s="52"/>
      <c r="Z11" s="40"/>
      <c r="AA11" s="40"/>
      <c r="AB11" s="40"/>
      <c r="AC11" s="40"/>
      <c r="AD11" s="42"/>
      <c r="AE11" s="42"/>
      <c r="AF11" s="52"/>
      <c r="AG11" s="52"/>
      <c r="AH11" s="28" t="s">
        <v>138</v>
      </c>
      <c r="AI11" s="43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3">
        <v>5.75</v>
      </c>
      <c r="AL11" s="6"/>
    </row>
    <row r="12" spans="1:38" ht="19.149999999999999" customHeight="1">
      <c r="A12" s="28" t="s">
        <v>109</v>
      </c>
      <c r="B12" s="52" t="s">
        <v>207</v>
      </c>
      <c r="C12" s="39"/>
      <c r="D12" s="52"/>
      <c r="E12" s="40"/>
      <c r="F12" s="40"/>
      <c r="G12" s="41" t="s">
        <v>205</v>
      </c>
      <c r="H12" s="40"/>
      <c r="I12" s="39"/>
      <c r="J12" s="39"/>
      <c r="K12" s="41" t="s">
        <v>205</v>
      </c>
      <c r="L12" s="40"/>
      <c r="M12" s="40"/>
      <c r="N12" s="52"/>
      <c r="O12" s="40"/>
      <c r="P12" s="39"/>
      <c r="Q12" s="39"/>
      <c r="R12" s="40"/>
      <c r="S12" s="41" t="s">
        <v>205</v>
      </c>
      <c r="T12" s="40"/>
      <c r="U12" s="40"/>
      <c r="V12" s="40"/>
      <c r="W12" s="39"/>
      <c r="X12" s="39"/>
      <c r="Y12" s="52"/>
      <c r="Z12" s="40"/>
      <c r="AA12" s="40"/>
      <c r="AB12" s="40"/>
      <c r="AC12" s="40"/>
      <c r="AD12" s="42"/>
      <c r="AE12" s="42"/>
      <c r="AF12" s="52"/>
      <c r="AG12" s="52"/>
      <c r="AH12" s="28" t="s">
        <v>109</v>
      </c>
      <c r="AI12" s="43">
        <f t="shared" si="4"/>
        <v>136.55000000000001</v>
      </c>
      <c r="AJ12" s="7">
        <v>1</v>
      </c>
      <c r="AK12" s="43">
        <v>10.25</v>
      </c>
      <c r="AL12" s="6"/>
    </row>
    <row r="13" spans="1:38" ht="19.149999999999999" customHeight="1">
      <c r="A13" s="28" t="s">
        <v>111</v>
      </c>
      <c r="B13" s="52" t="s">
        <v>207</v>
      </c>
      <c r="C13" s="39"/>
      <c r="D13" s="52"/>
      <c r="E13" s="40"/>
      <c r="F13" s="40"/>
      <c r="G13" s="40"/>
      <c r="H13" s="40"/>
      <c r="I13" s="39"/>
      <c r="J13" s="39"/>
      <c r="K13" s="40"/>
      <c r="L13" s="40"/>
      <c r="M13" s="40"/>
      <c r="N13" s="41" t="s">
        <v>188</v>
      </c>
      <c r="O13" s="40"/>
      <c r="P13" s="39"/>
      <c r="Q13" s="39"/>
      <c r="R13" s="40"/>
      <c r="S13" s="40"/>
      <c r="T13" s="41" t="s">
        <v>208</v>
      </c>
      <c r="U13" s="40"/>
      <c r="V13" s="40"/>
      <c r="W13" s="39"/>
      <c r="X13" s="39"/>
      <c r="Y13" s="52"/>
      <c r="Z13" s="40"/>
      <c r="AA13" s="40"/>
      <c r="AB13" s="40"/>
      <c r="AC13" s="40"/>
      <c r="AD13" s="42"/>
      <c r="AE13" s="42"/>
      <c r="AF13" s="52"/>
      <c r="AG13" s="52"/>
      <c r="AH13" s="28" t="s">
        <v>111</v>
      </c>
      <c r="AI13" s="43">
        <f t="shared" si="4"/>
        <v>138.04999999999998</v>
      </c>
      <c r="AJ13" s="7">
        <v>1</v>
      </c>
      <c r="AK13" s="43">
        <v>1</v>
      </c>
      <c r="AL13" s="6"/>
    </row>
    <row r="14" spans="1:38" ht="19.149999999999999" customHeight="1">
      <c r="A14" s="28"/>
      <c r="B14" s="52"/>
      <c r="C14" s="39"/>
      <c r="D14" s="52"/>
      <c r="E14" s="40"/>
      <c r="F14" s="40"/>
      <c r="G14" s="40"/>
      <c r="H14" s="40"/>
      <c r="I14" s="39"/>
      <c r="J14" s="39"/>
      <c r="K14" s="40"/>
      <c r="L14" s="40"/>
      <c r="M14" s="40"/>
      <c r="N14" s="52"/>
      <c r="O14" s="40"/>
      <c r="P14" s="39"/>
      <c r="Q14" s="39"/>
      <c r="R14" s="40"/>
      <c r="S14" s="40"/>
      <c r="T14" s="40"/>
      <c r="U14" s="40"/>
      <c r="V14" s="40"/>
      <c r="W14" s="39"/>
      <c r="X14" s="39"/>
      <c r="Y14" s="52"/>
      <c r="Z14" s="40"/>
      <c r="AA14" s="40"/>
      <c r="AB14" s="40"/>
      <c r="AC14" s="40"/>
      <c r="AD14" s="42"/>
      <c r="AE14" s="42"/>
      <c r="AF14" s="52"/>
      <c r="AG14" s="52"/>
      <c r="AH14" s="28"/>
      <c r="AI14" s="43"/>
      <c r="AJ14" s="7"/>
      <c r="AK14" s="43"/>
      <c r="AL14" s="6"/>
    </row>
    <row r="15" spans="1:38" ht="19.149999999999999" customHeight="1">
      <c r="A15" s="28" t="s">
        <v>209</v>
      </c>
      <c r="B15" s="52" t="s">
        <v>207</v>
      </c>
      <c r="C15" s="39"/>
      <c r="D15" s="52"/>
      <c r="E15" s="40"/>
      <c r="F15" s="40"/>
      <c r="G15" s="40"/>
      <c r="H15" s="41" t="s">
        <v>188</v>
      </c>
      <c r="I15" s="39"/>
      <c r="J15" s="39"/>
      <c r="K15" s="40"/>
      <c r="L15" s="40"/>
      <c r="M15" s="40"/>
      <c r="N15" s="52"/>
      <c r="O15" s="40"/>
      <c r="P15" s="39"/>
      <c r="Q15" s="39"/>
      <c r="R15" s="40"/>
      <c r="S15" s="40"/>
      <c r="T15" s="40"/>
      <c r="U15" s="40"/>
      <c r="V15" s="40"/>
      <c r="W15" s="39"/>
      <c r="X15" s="39"/>
      <c r="Y15" s="52"/>
      <c r="Z15" s="40"/>
      <c r="AA15" s="40"/>
      <c r="AB15" s="40"/>
      <c r="AC15" s="40"/>
      <c r="AD15" s="42"/>
      <c r="AE15" s="42"/>
      <c r="AF15" s="52"/>
      <c r="AG15" s="52"/>
      <c r="AH15" s="28" t="s">
        <v>209</v>
      </c>
      <c r="AI15" s="43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3">
        <v>0</v>
      </c>
      <c r="AL15" s="6"/>
    </row>
    <row r="16" spans="1:38" ht="19.149999999999999" customHeight="1">
      <c r="A16" s="28" t="s">
        <v>210</v>
      </c>
      <c r="B16" s="52" t="s">
        <v>207</v>
      </c>
      <c r="C16" s="39"/>
      <c r="D16" s="52"/>
      <c r="E16" s="40"/>
      <c r="F16" s="40"/>
      <c r="G16" s="40"/>
      <c r="H16" s="40"/>
      <c r="I16" s="39"/>
      <c r="J16" s="39"/>
      <c r="K16" s="40"/>
      <c r="L16" s="40"/>
      <c r="M16" s="41" t="s">
        <v>188</v>
      </c>
      <c r="N16" s="52"/>
      <c r="O16" s="40"/>
      <c r="P16" s="39"/>
      <c r="Q16" s="39"/>
      <c r="R16" s="40"/>
      <c r="S16" s="40"/>
      <c r="T16" s="40"/>
      <c r="U16" s="40"/>
      <c r="V16" s="40"/>
      <c r="W16" s="39"/>
      <c r="X16" s="39"/>
      <c r="Y16" s="52"/>
      <c r="Z16" s="40"/>
      <c r="AA16" s="40"/>
      <c r="AB16" s="40"/>
      <c r="AC16" s="40"/>
      <c r="AD16" s="42"/>
      <c r="AE16" s="42"/>
      <c r="AF16" s="52"/>
      <c r="AG16" s="52"/>
      <c r="AH16" s="28" t="s">
        <v>210</v>
      </c>
      <c r="AI16" s="43">
        <f t="shared" si="5"/>
        <v>141.55000000000001</v>
      </c>
      <c r="AJ16" s="7">
        <v>1</v>
      </c>
      <c r="AK16" s="43">
        <v>4.5</v>
      </c>
      <c r="AL16" s="6"/>
    </row>
    <row r="17" spans="1:38" ht="19.149999999999999" customHeight="1">
      <c r="A17" s="28" t="s">
        <v>114</v>
      </c>
      <c r="B17" s="52" t="s">
        <v>207</v>
      </c>
      <c r="C17" s="39"/>
      <c r="D17" s="52"/>
      <c r="E17" s="40"/>
      <c r="F17" s="40"/>
      <c r="G17" s="40"/>
      <c r="H17" s="41" t="s">
        <v>188</v>
      </c>
      <c r="I17" s="39"/>
      <c r="J17" s="39"/>
      <c r="K17" s="41" t="s">
        <v>211</v>
      </c>
      <c r="L17" s="40"/>
      <c r="M17" s="40"/>
      <c r="N17" s="52"/>
      <c r="O17" s="40"/>
      <c r="P17" s="39"/>
      <c r="Q17" s="39"/>
      <c r="R17" s="41" t="s">
        <v>188</v>
      </c>
      <c r="S17" s="40"/>
      <c r="T17" s="40"/>
      <c r="U17" s="41" t="s">
        <v>188</v>
      </c>
      <c r="V17" s="40"/>
      <c r="W17" s="39"/>
      <c r="X17" s="39"/>
      <c r="Y17" s="52"/>
      <c r="Z17" s="40"/>
      <c r="AA17" s="40"/>
      <c r="AB17" s="40"/>
      <c r="AC17" s="40"/>
      <c r="AD17" s="42"/>
      <c r="AE17" s="42"/>
      <c r="AF17" s="41" t="s">
        <v>212</v>
      </c>
      <c r="AG17" s="52"/>
      <c r="AH17" s="28" t="s">
        <v>114</v>
      </c>
      <c r="AI17" s="43">
        <f t="shared" si="5"/>
        <v>119</v>
      </c>
      <c r="AJ17" s="7">
        <v>1</v>
      </c>
      <c r="AK17" s="43">
        <v>0</v>
      </c>
      <c r="AL17" s="6"/>
    </row>
    <row r="18" spans="1:38" ht="19.149999999999999" customHeight="1">
      <c r="A18" s="28"/>
      <c r="B18" s="52"/>
      <c r="C18" s="39"/>
      <c r="D18" s="52"/>
      <c r="E18" s="40"/>
      <c r="F18" s="40"/>
      <c r="G18" s="40"/>
      <c r="H18" s="40"/>
      <c r="I18" s="39"/>
      <c r="J18" s="39"/>
      <c r="K18" s="40"/>
      <c r="L18" s="40"/>
      <c r="M18" s="40"/>
      <c r="N18" s="52"/>
      <c r="O18" s="40"/>
      <c r="P18" s="39"/>
      <c r="Q18" s="39"/>
      <c r="R18" s="40"/>
      <c r="S18" s="40"/>
      <c r="T18" s="40"/>
      <c r="U18" s="40"/>
      <c r="V18" s="40"/>
      <c r="W18" s="39"/>
      <c r="X18" s="39"/>
      <c r="Y18" s="52"/>
      <c r="Z18" s="40"/>
      <c r="AA18" s="40"/>
      <c r="AB18" s="40"/>
      <c r="AC18" s="40"/>
      <c r="AD18" s="42"/>
      <c r="AE18" s="42"/>
      <c r="AF18" s="52"/>
      <c r="AG18" s="52"/>
      <c r="AH18" s="28"/>
      <c r="AI18" s="43"/>
      <c r="AJ18" s="7"/>
      <c r="AK18" s="43"/>
      <c r="AL18" s="6"/>
    </row>
    <row r="19" spans="1:38" ht="19.149999999999999" customHeight="1">
      <c r="A19" s="28" t="s">
        <v>213</v>
      </c>
      <c r="B19" s="52" t="s">
        <v>214</v>
      </c>
      <c r="C19" s="39"/>
      <c r="D19" s="52"/>
      <c r="E19" s="40"/>
      <c r="F19" s="40"/>
      <c r="G19" s="40"/>
      <c r="H19" s="40"/>
      <c r="I19" s="39"/>
      <c r="J19" s="39"/>
      <c r="K19" s="40"/>
      <c r="L19" s="41" t="s">
        <v>205</v>
      </c>
      <c r="M19" s="40"/>
      <c r="N19" s="52"/>
      <c r="O19" s="40"/>
      <c r="P19" s="39"/>
      <c r="Q19" s="39"/>
      <c r="R19" s="40"/>
      <c r="S19" s="40"/>
      <c r="T19" s="40"/>
      <c r="U19" s="40"/>
      <c r="V19" s="40"/>
      <c r="W19" s="39"/>
      <c r="X19" s="39"/>
      <c r="Y19" s="52"/>
      <c r="Z19" s="40"/>
      <c r="AA19" s="40"/>
      <c r="AB19" s="40"/>
      <c r="AC19" s="41" t="s">
        <v>188</v>
      </c>
      <c r="AD19" s="42"/>
      <c r="AE19" s="42"/>
      <c r="AF19" s="52"/>
      <c r="AG19" s="52"/>
      <c r="AH19" s="28" t="s">
        <v>213</v>
      </c>
      <c r="AI19" s="43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3">
        <v>7.25</v>
      </c>
      <c r="AL19" s="6"/>
    </row>
    <row r="20" spans="1:38" ht="19.149999999999999" customHeight="1">
      <c r="A20" s="28" t="s">
        <v>142</v>
      </c>
      <c r="B20" s="52" t="s">
        <v>214</v>
      </c>
      <c r="C20" s="39"/>
      <c r="D20" s="52"/>
      <c r="E20" s="40"/>
      <c r="F20" s="40"/>
      <c r="G20" s="40"/>
      <c r="H20" s="40"/>
      <c r="I20" s="39"/>
      <c r="J20" s="39"/>
      <c r="K20" s="40"/>
      <c r="L20" s="40"/>
      <c r="M20" s="41" t="s">
        <v>188</v>
      </c>
      <c r="N20" s="52"/>
      <c r="O20" s="40"/>
      <c r="P20" s="39"/>
      <c r="Q20" s="39"/>
      <c r="R20" s="40"/>
      <c r="S20" s="40"/>
      <c r="T20" s="40"/>
      <c r="U20" s="40"/>
      <c r="V20" s="41" t="s">
        <v>188</v>
      </c>
      <c r="W20" s="39"/>
      <c r="X20" s="39"/>
      <c r="Y20" s="52"/>
      <c r="Z20" s="40"/>
      <c r="AA20" s="40"/>
      <c r="AB20" s="40"/>
      <c r="AC20" s="40"/>
      <c r="AD20" s="42"/>
      <c r="AE20" s="42"/>
      <c r="AF20" s="52"/>
      <c r="AG20" s="52"/>
      <c r="AH20" s="28" t="s">
        <v>142</v>
      </c>
      <c r="AI20" s="43">
        <f t="shared" si="6"/>
        <v>134.1</v>
      </c>
      <c r="AJ20" s="7">
        <v>2</v>
      </c>
      <c r="AK20" s="43">
        <v>17</v>
      </c>
      <c r="AL20" s="6"/>
    </row>
    <row r="21" spans="1:38" ht="19.149999999999999" customHeight="1">
      <c r="A21" s="28" t="s">
        <v>215</v>
      </c>
      <c r="B21" s="52" t="s">
        <v>214</v>
      </c>
      <c r="C21" s="39"/>
      <c r="D21" s="52"/>
      <c r="E21" s="40"/>
      <c r="F21" s="40"/>
      <c r="G21" s="40"/>
      <c r="H21" s="40"/>
      <c r="I21" s="39"/>
      <c r="J21" s="39"/>
      <c r="K21" s="40"/>
      <c r="L21" s="40"/>
      <c r="M21" s="40"/>
      <c r="N21" s="52"/>
      <c r="O21" s="40"/>
      <c r="P21" s="39"/>
      <c r="Q21" s="39"/>
      <c r="R21" s="40"/>
      <c r="S21" s="40"/>
      <c r="T21" s="40"/>
      <c r="U21" s="40"/>
      <c r="V21" s="41" t="s">
        <v>188</v>
      </c>
      <c r="W21" s="39"/>
      <c r="X21" s="39"/>
      <c r="Y21" s="52"/>
      <c r="Z21" s="40"/>
      <c r="AA21" s="40"/>
      <c r="AB21" s="40"/>
      <c r="AC21" s="40"/>
      <c r="AD21" s="42"/>
      <c r="AE21" s="42"/>
      <c r="AF21" s="52"/>
      <c r="AG21" s="52"/>
      <c r="AH21" s="28" t="s">
        <v>144</v>
      </c>
      <c r="AI21" s="43">
        <f t="shared" si="6"/>
        <v>141.55000000000001</v>
      </c>
      <c r="AJ21" s="7">
        <v>2</v>
      </c>
      <c r="AK21" s="43">
        <v>3.5</v>
      </c>
      <c r="AL21" s="6"/>
    </row>
    <row r="22" spans="1:38" ht="19.149999999999999" customHeight="1">
      <c r="A22" s="28" t="s">
        <v>145</v>
      </c>
      <c r="B22" s="52" t="s">
        <v>214</v>
      </c>
      <c r="C22" s="39"/>
      <c r="D22" s="52"/>
      <c r="E22" s="40"/>
      <c r="F22" s="40"/>
      <c r="G22" s="40"/>
      <c r="H22" s="40"/>
      <c r="I22" s="39"/>
      <c r="J22" s="39"/>
      <c r="K22" s="40"/>
      <c r="L22" s="40"/>
      <c r="M22" s="40"/>
      <c r="N22" s="52"/>
      <c r="O22" s="40"/>
      <c r="P22" s="39"/>
      <c r="Q22" s="39"/>
      <c r="R22" s="40"/>
      <c r="S22" s="40"/>
      <c r="T22" s="40"/>
      <c r="U22" s="40"/>
      <c r="V22" s="41" t="s">
        <v>188</v>
      </c>
      <c r="W22" s="39"/>
      <c r="X22" s="39"/>
      <c r="Y22" s="52"/>
      <c r="Z22" s="40"/>
      <c r="AA22" s="40"/>
      <c r="AB22" s="40"/>
      <c r="AC22" s="40"/>
      <c r="AD22" s="42"/>
      <c r="AE22" s="42"/>
      <c r="AF22" s="52"/>
      <c r="AG22" s="52"/>
      <c r="AH22" s="28" t="s">
        <v>145</v>
      </c>
      <c r="AI22" s="43">
        <f t="shared" si="6"/>
        <v>141.55000000000001</v>
      </c>
      <c r="AJ22" s="7">
        <v>2</v>
      </c>
      <c r="AK22" s="43">
        <v>4.25</v>
      </c>
      <c r="AL22" s="6"/>
    </row>
    <row r="23" spans="1:38" ht="19.149999999999999" customHeight="1">
      <c r="A23" s="28" t="s">
        <v>216</v>
      </c>
      <c r="B23" s="52" t="s">
        <v>214</v>
      </c>
      <c r="C23" s="39"/>
      <c r="D23" s="52"/>
      <c r="E23" s="40"/>
      <c r="F23" s="40"/>
      <c r="G23" s="40"/>
      <c r="H23" s="40"/>
      <c r="I23" s="39"/>
      <c r="J23" s="39"/>
      <c r="K23" s="40"/>
      <c r="L23" s="40"/>
      <c r="M23" s="40"/>
      <c r="N23" s="52"/>
      <c r="O23" s="40"/>
      <c r="P23" s="39"/>
      <c r="Q23" s="39"/>
      <c r="R23" s="40"/>
      <c r="S23" s="40"/>
      <c r="T23" s="40"/>
      <c r="U23" s="40"/>
      <c r="V23" s="41" t="s">
        <v>188</v>
      </c>
      <c r="W23" s="39"/>
      <c r="X23" s="39"/>
      <c r="Y23" s="52"/>
      <c r="Z23" s="41" t="s">
        <v>205</v>
      </c>
      <c r="AA23" s="40"/>
      <c r="AB23" s="40"/>
      <c r="AC23" s="40"/>
      <c r="AD23" s="42"/>
      <c r="AE23" s="42"/>
      <c r="AF23" s="52"/>
      <c r="AG23" s="52"/>
      <c r="AH23" s="28" t="s">
        <v>216</v>
      </c>
      <c r="AI23" s="43">
        <f t="shared" si="6"/>
        <v>137.4</v>
      </c>
      <c r="AJ23" s="7">
        <v>2</v>
      </c>
      <c r="AK23" s="43">
        <v>3.5</v>
      </c>
      <c r="AL23" s="6"/>
    </row>
    <row r="24" spans="1:38" ht="19.149999999999999" customHeight="1">
      <c r="A24" s="7"/>
      <c r="B24" s="54"/>
      <c r="C24" s="39"/>
      <c r="D24" s="52"/>
      <c r="E24" s="40"/>
      <c r="F24" s="40"/>
      <c r="G24" s="40"/>
      <c r="H24" s="40"/>
      <c r="I24" s="39"/>
      <c r="J24" s="39"/>
      <c r="K24" s="40"/>
      <c r="L24" s="40"/>
      <c r="M24" s="40"/>
      <c r="N24" s="52"/>
      <c r="O24" s="40"/>
      <c r="P24" s="39"/>
      <c r="Q24" s="39"/>
      <c r="R24" s="40"/>
      <c r="S24" s="40"/>
      <c r="T24" s="40"/>
      <c r="U24" s="40"/>
      <c r="V24" s="40"/>
      <c r="W24" s="39"/>
      <c r="X24" s="39"/>
      <c r="Y24" s="52"/>
      <c r="Z24" s="40"/>
      <c r="AA24" s="40"/>
      <c r="AB24" s="40"/>
      <c r="AC24" s="40"/>
      <c r="AD24" s="42"/>
      <c r="AE24" s="42"/>
      <c r="AF24" s="52"/>
      <c r="AG24" s="52"/>
      <c r="AH24" s="7"/>
      <c r="AI24" s="7"/>
      <c r="AJ24" s="7"/>
      <c r="AK24" s="7"/>
      <c r="AL24" s="6"/>
    </row>
    <row r="25" spans="1:38" ht="19.149999999999999" customHeight="1">
      <c r="A25" s="28"/>
      <c r="B25" s="52"/>
      <c r="C25" s="39"/>
      <c r="D25" s="52"/>
      <c r="E25" s="40"/>
      <c r="F25" s="40"/>
      <c r="G25" s="40"/>
      <c r="H25" s="40"/>
      <c r="I25" s="39"/>
      <c r="J25" s="39"/>
      <c r="K25" s="40"/>
      <c r="L25" s="40"/>
      <c r="M25" s="40"/>
      <c r="N25" s="52"/>
      <c r="O25" s="40"/>
      <c r="P25" s="39"/>
      <c r="Q25" s="39"/>
      <c r="R25" s="40"/>
      <c r="S25" s="40"/>
      <c r="T25" s="40"/>
      <c r="U25" s="40"/>
      <c r="V25" s="40"/>
      <c r="W25" s="39"/>
      <c r="X25" s="39"/>
      <c r="Y25" s="52"/>
      <c r="Z25" s="40"/>
      <c r="AA25" s="40"/>
      <c r="AB25" s="40"/>
      <c r="AC25" s="40"/>
      <c r="AD25" s="42"/>
      <c r="AE25" s="42"/>
      <c r="AF25" s="52"/>
      <c r="AG25" s="52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8" t="s">
        <v>217</v>
      </c>
      <c r="B26" s="52" t="s">
        <v>191</v>
      </c>
      <c r="C26" s="39"/>
      <c r="D26" s="52"/>
      <c r="E26" s="40"/>
      <c r="F26" s="40"/>
      <c r="G26" s="40"/>
      <c r="H26" s="40"/>
      <c r="I26" s="39"/>
      <c r="J26" s="39"/>
      <c r="K26" s="40"/>
      <c r="L26" s="40"/>
      <c r="M26" s="40"/>
      <c r="N26" s="52"/>
      <c r="O26" s="40"/>
      <c r="P26" s="39"/>
      <c r="Q26" s="39"/>
      <c r="R26" s="40"/>
      <c r="S26" s="40"/>
      <c r="T26" s="40"/>
      <c r="U26" s="40"/>
      <c r="V26" s="40"/>
      <c r="W26" s="39"/>
      <c r="X26" s="39"/>
      <c r="Y26" s="52"/>
      <c r="Z26" s="40"/>
      <c r="AA26" s="40"/>
      <c r="AB26" s="40"/>
      <c r="AC26" s="40"/>
      <c r="AD26" s="42"/>
      <c r="AE26" s="42"/>
      <c r="AF26" s="52"/>
      <c r="AG26" s="52"/>
      <c r="AH26" s="28" t="s">
        <v>217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8"/>
      <c r="AE27" s="6"/>
      <c r="AF27" s="6"/>
      <c r="AG27" s="6"/>
      <c r="AH27" s="44" t="s">
        <v>218</v>
      </c>
      <c r="AI27" s="7">
        <f>SUM(AI28:AI30)</f>
        <v>2119.5500000000002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4" t="s">
        <v>219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4" t="s">
        <v>214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4" t="s">
        <v>220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221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H13" sqref="H13"/>
    </sheetView>
  </sheetViews>
  <sheetFormatPr defaultRowHeight="19.149999999999999" customHeight="1"/>
  <cols>
    <col min="1" max="1" width="14.75" style="1" bestFit="1" customWidth="1"/>
    <col min="2" max="2" width="7.5" style="1" bestFit="1" customWidth="1"/>
    <col min="3" max="3" width="3.625" style="1" customWidth="1"/>
    <col min="4" max="4" width="16.5" style="1" bestFit="1" customWidth="1"/>
    <col min="5" max="7" width="3.625" style="1" customWidth="1"/>
    <col min="8" max="8" width="5.5" style="1" bestFit="1" customWidth="1"/>
    <col min="9" max="10" width="3.625" style="1" customWidth="1"/>
    <col min="11" max="11" width="5.5" style="1" bestFit="1" customWidth="1"/>
    <col min="12" max="12" width="4.375" style="1" bestFit="1" customWidth="1"/>
    <col min="13" max="13" width="4.125" style="1" bestFit="1" customWidth="1"/>
    <col min="14" max="14" width="6.5" style="1" bestFit="1" customWidth="1"/>
    <col min="15" max="15" width="4.375" style="1" bestFit="1" customWidth="1"/>
    <col min="16" max="17" width="5.5" style="1" bestFit="1" customWidth="1"/>
    <col min="18" max="19" width="4.375" style="1" bestFit="1" customWidth="1"/>
    <col min="20" max="20" width="5.5" style="1" bestFit="1" customWidth="1"/>
    <col min="21" max="21" width="4.375" style="1" bestFit="1" customWidth="1"/>
    <col min="22" max="22" width="6.5" style="1" bestFit="1" customWidth="1"/>
    <col min="23" max="23" width="4.375" style="1" bestFit="1" customWidth="1"/>
    <col min="24" max="24" width="9.25" style="1" bestFit="1" customWidth="1"/>
    <col min="25" max="27" width="4.625" style="1" bestFit="1" customWidth="1"/>
    <col min="28" max="28" width="26.5" style="1" bestFit="1" customWidth="1"/>
    <col min="29" max="32" width="4.625" style="1" bestFit="1" customWidth="1"/>
    <col min="33" max="33" width="3.625" style="1" customWidth="1"/>
    <col min="34" max="34" width="12.625" style="1" bestFit="1" customWidth="1"/>
    <col min="35" max="35" width="13.25" style="1" bestFit="1" customWidth="1"/>
    <col min="36" max="36" width="11.25" style="1" bestFit="1" customWidth="1"/>
    <col min="37" max="37" width="11.125" bestFit="1" customWidth="1"/>
    <col min="38" max="38" width="3.625" style="1" customWidth="1"/>
  </cols>
  <sheetData>
    <row r="1" spans="1:38" ht="19.149999999999999" customHeight="1" thickBot="1">
      <c r="A1" s="18">
        <v>46113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9" t="s">
        <v>115</v>
      </c>
      <c r="AC1" s="15"/>
      <c r="AD1" s="15"/>
      <c r="AE1" s="15"/>
      <c r="AF1" s="15"/>
      <c r="AG1" s="15"/>
      <c r="AH1" s="15"/>
      <c r="AI1" s="15"/>
      <c r="AJ1" s="15"/>
      <c r="AK1" s="6"/>
      <c r="AL1" s="15"/>
    </row>
    <row r="2" spans="1:38" ht="19.149999999999999" customHeight="1" thickBot="1">
      <c r="A2" s="20">
        <f>YEAR(A1)</f>
        <v>2026</v>
      </c>
      <c r="B2" s="21">
        <f>MONTH(A1)</f>
        <v>4</v>
      </c>
      <c r="C2" s="15"/>
      <c r="D2" s="22" t="s">
        <v>116</v>
      </c>
      <c r="E2" s="15"/>
      <c r="F2" s="15"/>
      <c r="G2" s="15"/>
      <c r="H2" s="15"/>
      <c r="I2" s="15"/>
      <c r="J2" s="19" t="s">
        <v>117</v>
      </c>
      <c r="K2" s="19" t="s">
        <v>118</v>
      </c>
      <c r="L2" s="23"/>
      <c r="M2" s="15"/>
      <c r="N2" s="19" t="s">
        <v>119</v>
      </c>
      <c r="O2" s="19"/>
      <c r="P2" s="19" t="s">
        <v>120</v>
      </c>
      <c r="Q2" s="19"/>
      <c r="R2" s="15"/>
      <c r="S2" s="19" t="s">
        <v>121</v>
      </c>
      <c r="T2" s="6" t="s">
        <v>122</v>
      </c>
      <c r="U2" s="15"/>
      <c r="V2" s="24" t="s">
        <v>123</v>
      </c>
      <c r="W2" s="25"/>
      <c r="X2" s="26" t="s">
        <v>124</v>
      </c>
      <c r="Y2" s="25"/>
      <c r="Z2" s="27"/>
      <c r="AA2" s="15"/>
      <c r="AB2" s="19" t="s">
        <v>125</v>
      </c>
      <c r="AC2" s="15"/>
      <c r="AD2" s="15"/>
      <c r="AE2" s="15"/>
      <c r="AF2" s="15"/>
      <c r="AG2" s="15"/>
      <c r="AH2" s="15"/>
      <c r="AI2" s="7" t="s">
        <v>126</v>
      </c>
      <c r="AJ2" s="15"/>
      <c r="AK2" s="6"/>
      <c r="AL2" s="15"/>
    </row>
    <row r="3" spans="1:38" ht="9.75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7"/>
      <c r="AJ3" s="15"/>
      <c r="AK3" s="6"/>
      <c r="AL3" s="15"/>
    </row>
    <row r="4" spans="1:38" ht="19.149999999999999" customHeight="1">
      <c r="A4" s="28"/>
      <c r="B4" s="50"/>
      <c r="C4" s="51">
        <f>DATEVALUE(A2&amp;"/"&amp;B2&amp;"/1")</f>
        <v>46113</v>
      </c>
      <c r="D4" s="51">
        <f t="shared" ref="D4:AF4" si="0">C4+1</f>
        <v>46114</v>
      </c>
      <c r="E4" s="51">
        <f t="shared" si="0"/>
        <v>46115</v>
      </c>
      <c r="F4" s="29">
        <f t="shared" si="0"/>
        <v>46116</v>
      </c>
      <c r="G4" s="29">
        <f t="shared" si="0"/>
        <v>46117</v>
      </c>
      <c r="H4" s="51">
        <f t="shared" si="0"/>
        <v>46118</v>
      </c>
      <c r="I4" s="51">
        <f t="shared" si="0"/>
        <v>46119</v>
      </c>
      <c r="J4" s="51">
        <f t="shared" si="0"/>
        <v>46120</v>
      </c>
      <c r="K4" s="51">
        <f t="shared" si="0"/>
        <v>46121</v>
      </c>
      <c r="L4" s="51">
        <f t="shared" si="0"/>
        <v>46122</v>
      </c>
      <c r="M4" s="29">
        <f t="shared" si="0"/>
        <v>46123</v>
      </c>
      <c r="N4" s="29">
        <f t="shared" si="0"/>
        <v>46124</v>
      </c>
      <c r="O4" s="51">
        <f t="shared" si="0"/>
        <v>46125</v>
      </c>
      <c r="P4" s="51">
        <f t="shared" si="0"/>
        <v>46126</v>
      </c>
      <c r="Q4" s="51">
        <f t="shared" si="0"/>
        <v>46127</v>
      </c>
      <c r="R4" s="51">
        <f t="shared" si="0"/>
        <v>46128</v>
      </c>
      <c r="S4" s="51">
        <f t="shared" si="0"/>
        <v>46129</v>
      </c>
      <c r="T4" s="29">
        <f t="shared" si="0"/>
        <v>46130</v>
      </c>
      <c r="U4" s="29">
        <f t="shared" si="0"/>
        <v>46131</v>
      </c>
      <c r="V4" s="51">
        <f t="shared" si="0"/>
        <v>46132</v>
      </c>
      <c r="W4" s="51">
        <f t="shared" si="0"/>
        <v>46133</v>
      </c>
      <c r="X4" s="51">
        <f t="shared" si="0"/>
        <v>46134</v>
      </c>
      <c r="Y4" s="51">
        <f t="shared" si="0"/>
        <v>46135</v>
      </c>
      <c r="Z4" s="51">
        <f t="shared" si="0"/>
        <v>46136</v>
      </c>
      <c r="AA4" s="29">
        <f t="shared" si="0"/>
        <v>46137</v>
      </c>
      <c r="AB4" s="29">
        <f t="shared" si="0"/>
        <v>46138</v>
      </c>
      <c r="AC4" s="51">
        <f t="shared" si="0"/>
        <v>46139</v>
      </c>
      <c r="AD4" s="51">
        <f t="shared" si="0"/>
        <v>46140</v>
      </c>
      <c r="AE4" s="51">
        <f t="shared" si="0"/>
        <v>46141</v>
      </c>
      <c r="AF4" s="51">
        <f t="shared" si="0"/>
        <v>46142</v>
      </c>
      <c r="AG4" s="51"/>
      <c r="AH4" s="32"/>
      <c r="AI4" s="33">
        <v>21</v>
      </c>
      <c r="AJ4" s="15"/>
      <c r="AK4" s="6"/>
      <c r="AL4" s="32"/>
    </row>
    <row r="5" spans="1:38" ht="19.149999999999999" customHeight="1">
      <c r="A5" s="28"/>
      <c r="B5" s="52" t="s">
        <v>127</v>
      </c>
      <c r="C5" s="53">
        <f>C4</f>
        <v>46113</v>
      </c>
      <c r="D5" s="53">
        <f t="shared" ref="D5:AF5" si="1">C5+1</f>
        <v>46114</v>
      </c>
      <c r="E5" s="53">
        <f t="shared" si="1"/>
        <v>46115</v>
      </c>
      <c r="F5" s="34">
        <f t="shared" si="1"/>
        <v>46116</v>
      </c>
      <c r="G5" s="34">
        <f t="shared" si="1"/>
        <v>46117</v>
      </c>
      <c r="H5" s="53">
        <f t="shared" si="1"/>
        <v>46118</v>
      </c>
      <c r="I5" s="53">
        <f t="shared" si="1"/>
        <v>46119</v>
      </c>
      <c r="J5" s="53">
        <f t="shared" si="1"/>
        <v>46120</v>
      </c>
      <c r="K5" s="53">
        <f t="shared" si="1"/>
        <v>46121</v>
      </c>
      <c r="L5" s="53">
        <f t="shared" si="1"/>
        <v>46122</v>
      </c>
      <c r="M5" s="34">
        <f t="shared" si="1"/>
        <v>46123</v>
      </c>
      <c r="N5" s="34">
        <f t="shared" si="1"/>
        <v>46124</v>
      </c>
      <c r="O5" s="53">
        <f t="shared" si="1"/>
        <v>46125</v>
      </c>
      <c r="P5" s="53">
        <f t="shared" si="1"/>
        <v>46126</v>
      </c>
      <c r="Q5" s="53">
        <f t="shared" si="1"/>
        <v>46127</v>
      </c>
      <c r="R5" s="53">
        <f t="shared" si="1"/>
        <v>46128</v>
      </c>
      <c r="S5" s="53">
        <f t="shared" si="1"/>
        <v>46129</v>
      </c>
      <c r="T5" s="34">
        <f t="shared" si="1"/>
        <v>46130</v>
      </c>
      <c r="U5" s="34">
        <f t="shared" si="1"/>
        <v>46131</v>
      </c>
      <c r="V5" s="53">
        <f t="shared" si="1"/>
        <v>46132</v>
      </c>
      <c r="W5" s="53">
        <f t="shared" si="1"/>
        <v>46133</v>
      </c>
      <c r="X5" s="53">
        <f t="shared" si="1"/>
        <v>46134</v>
      </c>
      <c r="Y5" s="53">
        <f t="shared" si="1"/>
        <v>46135</v>
      </c>
      <c r="Z5" s="53">
        <f t="shared" si="1"/>
        <v>46136</v>
      </c>
      <c r="AA5" s="34">
        <f t="shared" si="1"/>
        <v>46137</v>
      </c>
      <c r="AB5" s="34">
        <f t="shared" si="1"/>
        <v>46138</v>
      </c>
      <c r="AC5" s="53">
        <f t="shared" si="1"/>
        <v>46139</v>
      </c>
      <c r="AD5" s="53">
        <f t="shared" si="1"/>
        <v>46140</v>
      </c>
      <c r="AE5" s="53">
        <f t="shared" si="1"/>
        <v>46141</v>
      </c>
      <c r="AF5" s="53">
        <f t="shared" si="1"/>
        <v>46142</v>
      </c>
      <c r="AG5" s="53"/>
      <c r="AH5" s="37"/>
      <c r="AI5" s="38" t="s">
        <v>128</v>
      </c>
      <c r="AJ5" s="7" t="s">
        <v>129</v>
      </c>
      <c r="AK5" s="7" t="s">
        <v>130</v>
      </c>
      <c r="AL5" s="37"/>
    </row>
    <row r="6" spans="1:38" ht="19.149999999999999" customHeight="1">
      <c r="A6" s="28" t="s">
        <v>131</v>
      </c>
      <c r="B6" s="52"/>
      <c r="C6" s="52"/>
      <c r="D6" s="52"/>
      <c r="E6" s="52"/>
      <c r="F6" s="39"/>
      <c r="G6" s="39"/>
      <c r="H6" s="52"/>
      <c r="I6" s="52"/>
      <c r="J6" s="52"/>
      <c r="K6" s="52"/>
      <c r="L6" s="52"/>
      <c r="M6" s="39"/>
      <c r="N6" s="39"/>
      <c r="O6" s="52"/>
      <c r="P6" s="52"/>
      <c r="Q6" s="52"/>
      <c r="R6" s="52"/>
      <c r="S6" s="52"/>
      <c r="T6" s="39"/>
      <c r="U6" s="39"/>
      <c r="V6" s="52"/>
      <c r="W6" s="52"/>
      <c r="X6" s="52"/>
      <c r="Y6" s="52"/>
      <c r="Z6" s="52"/>
      <c r="AA6" s="39"/>
      <c r="AB6" s="39"/>
      <c r="AC6" s="52"/>
      <c r="AD6" s="52"/>
      <c r="AE6" s="40"/>
      <c r="AF6" s="52"/>
      <c r="AG6" s="52"/>
      <c r="AH6" s="28" t="s">
        <v>131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15"/>
    </row>
    <row r="7" spans="1:38" ht="19.149999999999999" customHeight="1">
      <c r="A7" s="28"/>
      <c r="B7" s="52"/>
      <c r="C7" s="52"/>
      <c r="D7" s="52"/>
      <c r="E7" s="52"/>
      <c r="F7" s="39"/>
      <c r="G7" s="39"/>
      <c r="H7" s="52"/>
      <c r="I7" s="52"/>
      <c r="J7" s="52"/>
      <c r="K7" s="52"/>
      <c r="L7" s="52"/>
      <c r="M7" s="39"/>
      <c r="N7" s="39"/>
      <c r="O7" s="52"/>
      <c r="P7" s="52"/>
      <c r="Q7" s="52"/>
      <c r="R7" s="52"/>
      <c r="S7" s="52"/>
      <c r="T7" s="39"/>
      <c r="U7" s="39"/>
      <c r="V7" s="52"/>
      <c r="W7" s="52"/>
      <c r="X7" s="52"/>
      <c r="Y7" s="52"/>
      <c r="Z7" s="52"/>
      <c r="AA7" s="39"/>
      <c r="AB7" s="39"/>
      <c r="AC7" s="52"/>
      <c r="AD7" s="52"/>
      <c r="AE7" s="40"/>
      <c r="AF7" s="52"/>
      <c r="AG7" s="52"/>
      <c r="AH7" s="28"/>
      <c r="AI7" s="43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15"/>
    </row>
    <row r="8" spans="1:38" ht="19.149999999999999" customHeight="1">
      <c r="A8" s="28" t="s">
        <v>132</v>
      </c>
      <c r="B8" s="52"/>
      <c r="C8" s="52"/>
      <c r="D8" s="52"/>
      <c r="E8" s="52"/>
      <c r="F8" s="39"/>
      <c r="G8" s="39"/>
      <c r="H8" s="52"/>
      <c r="I8" s="52"/>
      <c r="J8" s="52"/>
      <c r="K8" s="52"/>
      <c r="L8" s="52"/>
      <c r="M8" s="39"/>
      <c r="N8" s="39"/>
      <c r="O8" s="52"/>
      <c r="P8" s="52"/>
      <c r="Q8" s="52"/>
      <c r="R8" s="52"/>
      <c r="S8" s="52"/>
      <c r="T8" s="39"/>
      <c r="U8" s="39"/>
      <c r="V8" s="52"/>
      <c r="W8" s="52"/>
      <c r="X8" s="52"/>
      <c r="Y8" s="52"/>
      <c r="Z8" s="52"/>
      <c r="AA8" s="39"/>
      <c r="AB8" s="39"/>
      <c r="AC8" s="52"/>
      <c r="AD8" s="52"/>
      <c r="AE8" s="40"/>
      <c r="AF8" s="52"/>
      <c r="AG8" s="52"/>
      <c r="AH8" s="28" t="s">
        <v>133</v>
      </c>
      <c r="AI8" s="43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8" s="7">
        <v>0</v>
      </c>
      <c r="AK8" s="43" t="e">
        <v>#VALUE!</v>
      </c>
      <c r="AL8" s="15"/>
    </row>
    <row r="9" spans="1:38" ht="19.149999999999999" customHeight="1">
      <c r="A9" s="28" t="s">
        <v>134</v>
      </c>
      <c r="B9" s="52"/>
      <c r="C9" s="52"/>
      <c r="D9" s="52"/>
      <c r="E9" s="52"/>
      <c r="F9" s="39"/>
      <c r="G9" s="39"/>
      <c r="H9" s="52"/>
      <c r="I9" s="52"/>
      <c r="J9" s="52"/>
      <c r="K9" s="52"/>
      <c r="L9" s="52"/>
      <c r="M9" s="39"/>
      <c r="N9" s="39"/>
      <c r="O9" s="52"/>
      <c r="P9" s="52"/>
      <c r="Q9" s="52"/>
      <c r="R9" s="52"/>
      <c r="S9" s="52"/>
      <c r="T9" s="39"/>
      <c r="U9" s="39"/>
      <c r="V9" s="52"/>
      <c r="W9" s="52"/>
      <c r="X9" s="52"/>
      <c r="Y9" s="52"/>
      <c r="Z9" s="52"/>
      <c r="AA9" s="39"/>
      <c r="AB9" s="39"/>
      <c r="AC9" s="52"/>
      <c r="AD9" s="52"/>
      <c r="AE9" s="40"/>
      <c r="AF9" s="52"/>
      <c r="AG9" s="52"/>
      <c r="AH9" s="28" t="s">
        <v>136</v>
      </c>
      <c r="AI9" s="43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9" s="7">
        <v>0</v>
      </c>
      <c r="AK9" s="43" t="e">
        <v>#VALUE!</v>
      </c>
      <c r="AL9" s="15"/>
    </row>
    <row r="10" spans="1:38" ht="19.149999999999999" customHeight="1">
      <c r="A10" s="28"/>
      <c r="B10" s="52"/>
      <c r="C10" s="52"/>
      <c r="D10" s="52"/>
      <c r="E10" s="52"/>
      <c r="F10" s="39"/>
      <c r="G10" s="39"/>
      <c r="H10" s="52"/>
      <c r="I10" s="52"/>
      <c r="J10" s="52"/>
      <c r="K10" s="52"/>
      <c r="L10" s="52"/>
      <c r="M10" s="39"/>
      <c r="N10" s="39"/>
      <c r="O10" s="52"/>
      <c r="P10" s="52"/>
      <c r="Q10" s="52"/>
      <c r="R10" s="52"/>
      <c r="S10" s="52"/>
      <c r="T10" s="39"/>
      <c r="U10" s="39"/>
      <c r="V10" s="52"/>
      <c r="W10" s="52"/>
      <c r="X10" s="52"/>
      <c r="Y10" s="52"/>
      <c r="Z10" s="52"/>
      <c r="AA10" s="39"/>
      <c r="AB10" s="39"/>
      <c r="AC10" s="52"/>
      <c r="AD10" s="52"/>
      <c r="AE10" s="40"/>
      <c r="AF10" s="52"/>
      <c r="AG10" s="52"/>
      <c r="AH10" s="28"/>
      <c r="AI10" s="43"/>
      <c r="AJ10" s="7"/>
      <c r="AK10" s="43"/>
      <c r="AL10" s="15"/>
    </row>
    <row r="11" spans="1:38" ht="19.149999999999999" customHeight="1">
      <c r="A11" s="28" t="s">
        <v>110</v>
      </c>
      <c r="B11" s="52" t="s">
        <v>137</v>
      </c>
      <c r="C11" s="52"/>
      <c r="D11" s="52"/>
      <c r="E11" s="52"/>
      <c r="F11" s="39"/>
      <c r="G11" s="39"/>
      <c r="H11" s="52"/>
      <c r="I11" s="52"/>
      <c r="J11" s="52"/>
      <c r="K11" s="52"/>
      <c r="L11" s="52"/>
      <c r="M11" s="39"/>
      <c r="N11" s="39"/>
      <c r="O11" s="52"/>
      <c r="P11" s="52"/>
      <c r="Q11" s="52"/>
      <c r="R11" s="52"/>
      <c r="S11" s="52"/>
      <c r="T11" s="39"/>
      <c r="U11" s="39"/>
      <c r="V11" s="52"/>
      <c r="W11" s="52"/>
      <c r="X11" s="52"/>
      <c r="Y11" s="52"/>
      <c r="Z11" s="52"/>
      <c r="AA11" s="39"/>
      <c r="AB11" s="39"/>
      <c r="AC11" s="52"/>
      <c r="AD11" s="52"/>
      <c r="AE11" s="40"/>
      <c r="AF11" s="52"/>
      <c r="AG11" s="52"/>
      <c r="AH11" s="28" t="s">
        <v>138</v>
      </c>
      <c r="AI11" s="43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3" t="e">
        <v>#VALUE!</v>
      </c>
      <c r="AL11" s="15"/>
    </row>
    <row r="12" spans="1:38" ht="19.149999999999999" customHeight="1">
      <c r="A12" s="28" t="s">
        <v>109</v>
      </c>
      <c r="B12" s="52" t="s">
        <v>137</v>
      </c>
      <c r="C12" s="52"/>
      <c r="D12" s="52"/>
      <c r="E12" s="52"/>
      <c r="F12" s="39"/>
      <c r="G12" s="39"/>
      <c r="H12" s="52"/>
      <c r="I12" s="52"/>
      <c r="J12" s="52"/>
      <c r="K12" s="52"/>
      <c r="L12" s="52"/>
      <c r="M12" s="39"/>
      <c r="N12" s="39"/>
      <c r="O12" s="52"/>
      <c r="P12" s="52"/>
      <c r="Q12" s="52"/>
      <c r="R12" s="52"/>
      <c r="S12" s="52"/>
      <c r="T12" s="39"/>
      <c r="U12" s="39"/>
      <c r="V12" s="52"/>
      <c r="W12" s="52"/>
      <c r="X12" s="52"/>
      <c r="Y12" s="52"/>
      <c r="Z12" s="52"/>
      <c r="AA12" s="39"/>
      <c r="AB12" s="39"/>
      <c r="AC12" s="52"/>
      <c r="AD12" s="52"/>
      <c r="AE12" s="40"/>
      <c r="AF12" s="52"/>
      <c r="AG12" s="52"/>
      <c r="AH12" s="28" t="s">
        <v>109</v>
      </c>
      <c r="AI12" s="43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2" s="7">
        <v>1</v>
      </c>
      <c r="AK12" s="43" t="e">
        <v>#VALUE!</v>
      </c>
      <c r="AL12" s="15"/>
    </row>
    <row r="13" spans="1:38" ht="19.149999999999999" customHeight="1">
      <c r="A13" s="28" t="s">
        <v>111</v>
      </c>
      <c r="B13" s="52" t="s">
        <v>137</v>
      </c>
      <c r="C13" s="52"/>
      <c r="D13" s="52"/>
      <c r="E13" s="52"/>
      <c r="F13" s="39"/>
      <c r="G13" s="39"/>
      <c r="H13" s="41" t="s">
        <v>139</v>
      </c>
      <c r="I13" s="52"/>
      <c r="J13" s="52"/>
      <c r="K13" s="52"/>
      <c r="L13" s="52"/>
      <c r="M13" s="39"/>
      <c r="N13" s="39"/>
      <c r="O13" s="52"/>
      <c r="P13" s="52"/>
      <c r="Q13" s="41" t="s">
        <v>139</v>
      </c>
      <c r="R13" s="52"/>
      <c r="S13" s="52"/>
      <c r="T13" s="39"/>
      <c r="U13" s="39"/>
      <c r="V13" s="52"/>
      <c r="W13" s="52"/>
      <c r="X13" s="52"/>
      <c r="Y13" s="52"/>
      <c r="Z13" s="52"/>
      <c r="AA13" s="39"/>
      <c r="AB13" s="39"/>
      <c r="AC13" s="52"/>
      <c r="AD13" s="52"/>
      <c r="AE13" s="40"/>
      <c r="AF13" s="52"/>
      <c r="AG13" s="52"/>
      <c r="AH13" s="28" t="s">
        <v>111</v>
      </c>
      <c r="AI13" s="43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149.45000000000002</v>
      </c>
      <c r="AJ13" s="7">
        <v>1</v>
      </c>
      <c r="AK13" s="43" t="e">
        <v>#VALUE!</v>
      </c>
      <c r="AL13" s="15"/>
    </row>
    <row r="14" spans="1:38" ht="19.149999999999999" customHeight="1">
      <c r="A14" s="28"/>
      <c r="B14" s="52"/>
      <c r="C14" s="52"/>
      <c r="D14" s="52"/>
      <c r="E14" s="52"/>
      <c r="F14" s="39"/>
      <c r="G14" s="39"/>
      <c r="H14" s="52"/>
      <c r="I14" s="52"/>
      <c r="J14" s="52"/>
      <c r="K14" s="52"/>
      <c r="L14" s="52"/>
      <c r="M14" s="39"/>
      <c r="N14" s="39"/>
      <c r="O14" s="52"/>
      <c r="P14" s="52"/>
      <c r="Q14" s="52"/>
      <c r="R14" s="52"/>
      <c r="S14" s="52"/>
      <c r="T14" s="39"/>
      <c r="U14" s="39"/>
      <c r="V14" s="52"/>
      <c r="W14" s="52"/>
      <c r="X14" s="52"/>
      <c r="Y14" s="52"/>
      <c r="Z14" s="52"/>
      <c r="AA14" s="39"/>
      <c r="AB14" s="39"/>
      <c r="AC14" s="52"/>
      <c r="AD14" s="52"/>
      <c r="AE14" s="40"/>
      <c r="AF14" s="52"/>
      <c r="AG14" s="52"/>
      <c r="AH14" s="28"/>
      <c r="AI14" s="43"/>
      <c r="AJ14" s="7"/>
      <c r="AK14" s="43" t="e">
        <v>#VALUE!</v>
      </c>
      <c r="AL14" s="15"/>
    </row>
    <row r="15" spans="1:38" ht="19.149999999999999" customHeight="1">
      <c r="A15" s="28" t="s">
        <v>112</v>
      </c>
      <c r="B15" s="52" t="s">
        <v>137</v>
      </c>
      <c r="C15" s="52"/>
      <c r="D15" s="52"/>
      <c r="E15" s="52"/>
      <c r="F15" s="39"/>
      <c r="G15" s="39"/>
      <c r="H15" s="52"/>
      <c r="I15" s="52"/>
      <c r="J15" s="41" t="s">
        <v>117</v>
      </c>
      <c r="K15" s="52"/>
      <c r="L15" s="52"/>
      <c r="M15" s="39"/>
      <c r="N15" s="39"/>
      <c r="O15" s="52"/>
      <c r="P15" s="52"/>
      <c r="Q15" s="52"/>
      <c r="R15" s="52"/>
      <c r="S15" s="52"/>
      <c r="T15" s="39"/>
      <c r="U15" s="39"/>
      <c r="V15" s="52"/>
      <c r="W15" s="52"/>
      <c r="X15" s="52"/>
      <c r="Y15" s="52"/>
      <c r="Z15" s="52"/>
      <c r="AA15" s="39"/>
      <c r="AB15" s="39"/>
      <c r="AC15" s="52"/>
      <c r="AD15" s="52"/>
      <c r="AE15" s="40"/>
      <c r="AF15" s="52"/>
      <c r="AG15" s="52"/>
      <c r="AH15" s="28" t="s">
        <v>112</v>
      </c>
      <c r="AI15" s="43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3" t="e">
        <v>#VALUE!</v>
      </c>
      <c r="AL15" s="15"/>
    </row>
    <row r="16" spans="1:38" ht="19.149999999999999" customHeight="1">
      <c r="A16" s="28" t="s">
        <v>113</v>
      </c>
      <c r="B16" s="52" t="s">
        <v>137</v>
      </c>
      <c r="C16" s="52"/>
      <c r="D16" s="52"/>
      <c r="E16" s="52"/>
      <c r="F16" s="39"/>
      <c r="G16" s="39"/>
      <c r="H16" s="52"/>
      <c r="I16" s="52"/>
      <c r="J16" s="52"/>
      <c r="K16" s="52"/>
      <c r="L16" s="52"/>
      <c r="M16" s="39"/>
      <c r="N16" s="39"/>
      <c r="O16" s="52"/>
      <c r="P16" s="52"/>
      <c r="Q16" s="52"/>
      <c r="R16" s="52"/>
      <c r="S16" s="52"/>
      <c r="T16" s="39"/>
      <c r="U16" s="39"/>
      <c r="V16" s="52"/>
      <c r="W16" s="52"/>
      <c r="X16" s="52"/>
      <c r="Y16" s="52"/>
      <c r="Z16" s="52"/>
      <c r="AA16" s="39"/>
      <c r="AB16" s="39"/>
      <c r="AC16" s="52"/>
      <c r="AD16" s="52"/>
      <c r="AE16" s="40"/>
      <c r="AF16" s="52"/>
      <c r="AG16" s="52"/>
      <c r="AH16" s="28" t="s">
        <v>113</v>
      </c>
      <c r="AI16" s="43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6" s="7">
        <v>1</v>
      </c>
      <c r="AK16" s="43" t="e">
        <v>#VALUE!</v>
      </c>
      <c r="AL16" s="15"/>
    </row>
    <row r="17" spans="1:38" ht="19.149999999999999" customHeight="1">
      <c r="A17" s="28" t="s">
        <v>114</v>
      </c>
      <c r="B17" s="52" t="s">
        <v>137</v>
      </c>
      <c r="C17" s="52"/>
      <c r="D17" s="52"/>
      <c r="E17" s="52"/>
      <c r="F17" s="39"/>
      <c r="G17" s="39"/>
      <c r="H17" s="41" t="s">
        <v>135</v>
      </c>
      <c r="I17" s="52"/>
      <c r="J17" s="41" t="s">
        <v>117</v>
      </c>
      <c r="K17" s="52"/>
      <c r="L17" s="52"/>
      <c r="M17" s="39"/>
      <c r="N17" s="39"/>
      <c r="O17" s="52"/>
      <c r="P17" s="52"/>
      <c r="Q17" s="52"/>
      <c r="R17" s="52"/>
      <c r="S17" s="52"/>
      <c r="T17" s="39"/>
      <c r="U17" s="39"/>
      <c r="V17" s="52"/>
      <c r="W17" s="52"/>
      <c r="X17" s="52"/>
      <c r="Y17" s="52"/>
      <c r="Z17" s="52"/>
      <c r="AA17" s="39"/>
      <c r="AB17" s="39"/>
      <c r="AC17" s="52"/>
      <c r="AD17" s="52"/>
      <c r="AE17" s="40"/>
      <c r="AF17" s="52"/>
      <c r="AG17" s="52"/>
      <c r="AH17" s="28" t="s">
        <v>114</v>
      </c>
      <c r="AI17" s="43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144.85000000000002</v>
      </c>
      <c r="AJ17" s="7">
        <v>1</v>
      </c>
      <c r="AK17" s="43" t="e">
        <v>#VALUE!</v>
      </c>
      <c r="AL17" s="15"/>
    </row>
    <row r="18" spans="1:38" ht="19.149999999999999" customHeight="1">
      <c r="A18" s="28"/>
      <c r="B18" s="52"/>
      <c r="C18" s="52"/>
      <c r="D18" s="52"/>
      <c r="E18" s="52"/>
      <c r="F18" s="39"/>
      <c r="G18" s="39"/>
      <c r="H18" s="52"/>
      <c r="I18" s="52"/>
      <c r="J18" s="52"/>
      <c r="K18" s="52"/>
      <c r="L18" s="52"/>
      <c r="M18" s="39"/>
      <c r="N18" s="39"/>
      <c r="O18" s="52"/>
      <c r="P18" s="52"/>
      <c r="Q18" s="52"/>
      <c r="R18" s="52"/>
      <c r="S18" s="52"/>
      <c r="T18" s="39"/>
      <c r="U18" s="39"/>
      <c r="V18" s="52"/>
      <c r="W18" s="52"/>
      <c r="X18" s="52"/>
      <c r="Y18" s="52"/>
      <c r="Z18" s="52"/>
      <c r="AA18" s="39"/>
      <c r="AB18" s="39"/>
      <c r="AC18" s="52"/>
      <c r="AD18" s="52"/>
      <c r="AE18" s="40"/>
      <c r="AF18" s="52"/>
      <c r="AG18" s="52"/>
      <c r="AH18" s="28"/>
      <c r="AI18" s="43"/>
      <c r="AJ18" s="7"/>
      <c r="AK18" s="43"/>
      <c r="AL18" s="15"/>
    </row>
    <row r="19" spans="1:38" ht="19.149999999999999" customHeight="1">
      <c r="A19" s="28" t="s">
        <v>140</v>
      </c>
      <c r="B19" s="52" t="s">
        <v>141</v>
      </c>
      <c r="C19" s="52"/>
      <c r="D19" s="52"/>
      <c r="E19" s="52"/>
      <c r="F19" s="39"/>
      <c r="G19" s="39"/>
      <c r="H19" s="52"/>
      <c r="I19" s="52"/>
      <c r="J19" s="52"/>
      <c r="K19" s="52"/>
      <c r="L19" s="52"/>
      <c r="M19" s="39"/>
      <c r="N19" s="39"/>
      <c r="O19" s="52"/>
      <c r="P19" s="52"/>
      <c r="Q19" s="52"/>
      <c r="R19" s="52"/>
      <c r="S19" s="52"/>
      <c r="T19" s="39"/>
      <c r="U19" s="39"/>
      <c r="V19" s="52"/>
      <c r="W19" s="52"/>
      <c r="X19" s="52"/>
      <c r="Y19" s="52"/>
      <c r="Z19" s="52"/>
      <c r="AA19" s="39"/>
      <c r="AB19" s="39"/>
      <c r="AC19" s="52"/>
      <c r="AD19" s="52"/>
      <c r="AE19" s="40"/>
      <c r="AF19" s="52"/>
      <c r="AG19" s="52"/>
      <c r="AH19" s="28" t="s">
        <v>140</v>
      </c>
      <c r="AI19" s="43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3" t="e">
        <v>#VALUE!</v>
      </c>
      <c r="AL19" s="15"/>
    </row>
    <row r="20" spans="1:38" ht="19.149999999999999" customHeight="1">
      <c r="A20" s="28" t="s">
        <v>142</v>
      </c>
      <c r="B20" s="52" t="s">
        <v>141</v>
      </c>
      <c r="C20" s="52"/>
      <c r="D20" s="52"/>
      <c r="E20" s="41" t="s">
        <v>117</v>
      </c>
      <c r="F20" s="39"/>
      <c r="G20" s="39"/>
      <c r="H20" s="52"/>
      <c r="I20" s="52"/>
      <c r="J20" s="52"/>
      <c r="K20" s="52"/>
      <c r="L20" s="52"/>
      <c r="M20" s="39"/>
      <c r="N20" s="39"/>
      <c r="O20" s="52"/>
      <c r="P20" s="52"/>
      <c r="Q20" s="52"/>
      <c r="R20" s="52"/>
      <c r="S20" s="52"/>
      <c r="T20" s="39"/>
      <c r="U20" s="39"/>
      <c r="V20" s="52"/>
      <c r="W20" s="52"/>
      <c r="X20" s="52"/>
      <c r="Y20" s="52"/>
      <c r="Z20" s="52"/>
      <c r="AA20" s="39"/>
      <c r="AB20" s="39"/>
      <c r="AC20" s="52"/>
      <c r="AD20" s="52"/>
      <c r="AE20" s="40"/>
      <c r="AF20" s="52"/>
      <c r="AG20" s="52"/>
      <c r="AH20" s="28" t="s">
        <v>142</v>
      </c>
      <c r="AI20" s="43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</v>
      </c>
      <c r="AJ20" s="7">
        <v>2</v>
      </c>
      <c r="AK20" s="43" t="e">
        <v>#VALUE!</v>
      </c>
      <c r="AL20" s="15"/>
    </row>
    <row r="21" spans="1:38" ht="19.149999999999999" customHeight="1">
      <c r="A21" s="28" t="s">
        <v>143</v>
      </c>
      <c r="B21" s="52" t="s">
        <v>141</v>
      </c>
      <c r="C21" s="52"/>
      <c r="D21" s="52"/>
      <c r="E21" s="52"/>
      <c r="F21" s="39"/>
      <c r="G21" s="39"/>
      <c r="H21" s="52"/>
      <c r="I21" s="52"/>
      <c r="J21" s="52"/>
      <c r="K21" s="52"/>
      <c r="L21" s="52"/>
      <c r="M21" s="39"/>
      <c r="N21" s="39"/>
      <c r="O21" s="52"/>
      <c r="P21" s="52"/>
      <c r="Q21" s="52"/>
      <c r="R21" s="52"/>
      <c r="S21" s="52"/>
      <c r="T21" s="39"/>
      <c r="U21" s="39"/>
      <c r="V21" s="52"/>
      <c r="W21" s="52"/>
      <c r="X21" s="52"/>
      <c r="Y21" s="52"/>
      <c r="Z21" s="52"/>
      <c r="AA21" s="39"/>
      <c r="AB21" s="39"/>
      <c r="AC21" s="52"/>
      <c r="AD21" s="52"/>
      <c r="AE21" s="40"/>
      <c r="AF21" s="52"/>
      <c r="AG21" s="52"/>
      <c r="AH21" s="28" t="s">
        <v>144</v>
      </c>
      <c r="AI21" s="43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1" s="7">
        <v>2</v>
      </c>
      <c r="AK21" s="43" t="e">
        <v>#VALUE!</v>
      </c>
      <c r="AL21" s="15"/>
    </row>
    <row r="22" spans="1:38" ht="19.149999999999999" customHeight="1">
      <c r="A22" s="28" t="s">
        <v>145</v>
      </c>
      <c r="B22" s="52" t="s">
        <v>141</v>
      </c>
      <c r="C22" s="52"/>
      <c r="D22" s="52"/>
      <c r="E22" s="52"/>
      <c r="F22" s="39"/>
      <c r="G22" s="39"/>
      <c r="H22" s="52"/>
      <c r="I22" s="52"/>
      <c r="J22" s="52"/>
      <c r="K22" s="52"/>
      <c r="L22" s="52"/>
      <c r="M22" s="39"/>
      <c r="N22" s="39"/>
      <c r="O22" s="52"/>
      <c r="P22" s="52"/>
      <c r="Q22" s="52"/>
      <c r="R22" s="52"/>
      <c r="S22" s="52"/>
      <c r="T22" s="39"/>
      <c r="U22" s="39"/>
      <c r="V22" s="52"/>
      <c r="W22" s="52"/>
      <c r="X22" s="52"/>
      <c r="Y22" s="52"/>
      <c r="Z22" s="52"/>
      <c r="AA22" s="39"/>
      <c r="AB22" s="39"/>
      <c r="AC22" s="52"/>
      <c r="AD22" s="52"/>
      <c r="AE22" s="40"/>
      <c r="AF22" s="52"/>
      <c r="AG22" s="52"/>
      <c r="AH22" s="28" t="s">
        <v>145</v>
      </c>
      <c r="AI22" s="43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2" s="7">
        <v>2</v>
      </c>
      <c r="AK22" s="43" t="e">
        <v>#VALUE!</v>
      </c>
      <c r="AL22" s="15"/>
    </row>
    <row r="23" spans="1:38" ht="19.149999999999999" customHeight="1">
      <c r="A23" s="28" t="s">
        <v>146</v>
      </c>
      <c r="B23" s="52" t="s">
        <v>141</v>
      </c>
      <c r="C23" s="52"/>
      <c r="D23" s="52"/>
      <c r="E23" s="52"/>
      <c r="F23" s="39"/>
      <c r="G23" s="39"/>
      <c r="H23" s="52"/>
      <c r="I23" s="52"/>
      <c r="J23" s="52"/>
      <c r="K23" s="52"/>
      <c r="L23" s="52"/>
      <c r="M23" s="39"/>
      <c r="N23" s="39"/>
      <c r="O23" s="52"/>
      <c r="P23" s="52"/>
      <c r="Q23" s="52"/>
      <c r="R23" s="52"/>
      <c r="S23" s="52"/>
      <c r="T23" s="39"/>
      <c r="U23" s="39"/>
      <c r="V23" s="52"/>
      <c r="W23" s="52"/>
      <c r="X23" s="52"/>
      <c r="Y23" s="52"/>
      <c r="Z23" s="52"/>
      <c r="AA23" s="39"/>
      <c r="AB23" s="39"/>
      <c r="AC23" s="52"/>
      <c r="AD23" s="52"/>
      <c r="AE23" s="40"/>
      <c r="AF23" s="52"/>
      <c r="AG23" s="52"/>
      <c r="AH23" s="28" t="s">
        <v>146</v>
      </c>
      <c r="AI23" s="43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3" s="7">
        <v>2</v>
      </c>
      <c r="AK23" s="43" t="e">
        <v>#VALUE!</v>
      </c>
      <c r="AL23" s="15"/>
    </row>
    <row r="24" spans="1:38" ht="19.149999999999999" customHeight="1">
      <c r="A24" s="7"/>
      <c r="B24" s="54"/>
      <c r="C24" s="52"/>
      <c r="D24" s="52"/>
      <c r="E24" s="52"/>
      <c r="F24" s="39"/>
      <c r="G24" s="39"/>
      <c r="H24" s="52"/>
      <c r="I24" s="52"/>
      <c r="J24" s="52"/>
      <c r="K24" s="52"/>
      <c r="L24" s="52"/>
      <c r="M24" s="39"/>
      <c r="N24" s="39"/>
      <c r="O24" s="52"/>
      <c r="P24" s="52"/>
      <c r="Q24" s="52"/>
      <c r="R24" s="52"/>
      <c r="S24" s="52"/>
      <c r="T24" s="39"/>
      <c r="U24" s="39"/>
      <c r="V24" s="52"/>
      <c r="W24" s="52"/>
      <c r="X24" s="52"/>
      <c r="Y24" s="52"/>
      <c r="Z24" s="52"/>
      <c r="AA24" s="39"/>
      <c r="AB24" s="39"/>
      <c r="AC24" s="52"/>
      <c r="AD24" s="52"/>
      <c r="AE24" s="40"/>
      <c r="AF24" s="52"/>
      <c r="AG24" s="52"/>
      <c r="AH24" s="7"/>
      <c r="AI24" s="7"/>
      <c r="AJ24" s="7"/>
      <c r="AK24" s="7"/>
      <c r="AL24" s="15"/>
    </row>
    <row r="25" spans="1:38" ht="19.149999999999999" customHeight="1">
      <c r="A25" s="28"/>
      <c r="B25" s="52"/>
      <c r="C25" s="52"/>
      <c r="D25" s="52"/>
      <c r="E25" s="52"/>
      <c r="F25" s="39"/>
      <c r="G25" s="39"/>
      <c r="H25" s="52"/>
      <c r="I25" s="52"/>
      <c r="J25" s="52"/>
      <c r="K25" s="52"/>
      <c r="L25" s="52"/>
      <c r="M25" s="39"/>
      <c r="N25" s="39"/>
      <c r="O25" s="52"/>
      <c r="P25" s="52"/>
      <c r="Q25" s="52"/>
      <c r="R25" s="52"/>
      <c r="S25" s="52"/>
      <c r="T25" s="39"/>
      <c r="U25" s="39"/>
      <c r="V25" s="52"/>
      <c r="W25" s="52"/>
      <c r="X25" s="52"/>
      <c r="Y25" s="52"/>
      <c r="Z25" s="52"/>
      <c r="AA25" s="39"/>
      <c r="AB25" s="39"/>
      <c r="AC25" s="52"/>
      <c r="AD25" s="52"/>
      <c r="AE25" s="40"/>
      <c r="AF25" s="52"/>
      <c r="AG25" s="52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15"/>
    </row>
    <row r="26" spans="1:38" ht="19.149999999999999" customHeight="1">
      <c r="A26" s="28" t="s">
        <v>147</v>
      </c>
      <c r="B26" s="52" t="s">
        <v>120</v>
      </c>
      <c r="C26" s="52"/>
      <c r="D26" s="52"/>
      <c r="E26" s="52"/>
      <c r="F26" s="39"/>
      <c r="G26" s="39"/>
      <c r="H26" s="52"/>
      <c r="I26" s="52"/>
      <c r="J26" s="52"/>
      <c r="K26" s="52"/>
      <c r="L26" s="52"/>
      <c r="M26" s="39"/>
      <c r="N26" s="39"/>
      <c r="O26" s="52"/>
      <c r="P26" s="52"/>
      <c r="Q26" s="52"/>
      <c r="R26" s="52"/>
      <c r="S26" s="52"/>
      <c r="T26" s="39"/>
      <c r="U26" s="39"/>
      <c r="V26" s="52"/>
      <c r="W26" s="52"/>
      <c r="X26" s="52"/>
      <c r="Y26" s="52"/>
      <c r="Z26" s="52"/>
      <c r="AA26" s="39"/>
      <c r="AB26" s="39"/>
      <c r="AC26" s="52"/>
      <c r="AD26" s="52"/>
      <c r="AE26" s="40"/>
      <c r="AF26" s="52"/>
      <c r="AG26" s="52"/>
      <c r="AH26" s="28" t="s">
        <v>147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15"/>
    </row>
    <row r="27" spans="1:38" ht="19.149999999999999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44" t="s">
        <v>148</v>
      </c>
      <c r="AI27" s="7" t="e">
        <f>SUM(AI28:AI30)</f>
        <v>#VALUE!</v>
      </c>
      <c r="AJ27" s="15"/>
      <c r="AK27" s="6"/>
      <c r="AL27" s="15"/>
    </row>
    <row r="28" spans="1:38" ht="19.149999999999999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44" t="s">
        <v>149</v>
      </c>
      <c r="AI28" s="7" t="e">
        <f t="array" ref="AI28">_xlfn.LET(
    _xlpm._分類,$AJ$1:$AJ$26,
    _xlpm._工数,$AI$1:$AI$26,
    SUM(
        _xlfn._xlws.FILTER(_xlpm._工数,
            _xlpm._分類 = 1)
    )+AK28
)</f>
        <v>#VALUE!</v>
      </c>
      <c r="AJ28" s="15"/>
      <c r="AK28" s="7" t="e">
        <f t="array" ref="AK28">_xlfn.LET(
    _xlpm._分類,$AJ$1:$AJ$26,
    _xlpm._時間外,$AK$1:$AK$26,
    SUM(
        _xlfn._xlws.FILTER(_xlpm._時間外,
            _xlpm._分類 = 1)
    )
)</f>
        <v>#VALUE!</v>
      </c>
      <c r="AL28" s="15"/>
    </row>
    <row r="29" spans="1:38" ht="19.149999999999999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44" t="s">
        <v>141</v>
      </c>
      <c r="AI29" s="7" t="e">
        <f t="array" ref="AI29">_xlfn.LET(
    _xlpm._分類,$AJ$1:$AJ$26,
    _xlpm._工数,$AI$1:$AI$26,
    SUM(
        _xlfn._xlws.FILTER(_xlpm._工数,
            _xlpm._分類 = 2)
    )+AK29
)</f>
        <v>#VALUE!</v>
      </c>
      <c r="AJ29" s="15"/>
      <c r="AK29" s="7" t="e">
        <f t="array" ref="AK29">_xlfn.LET(
    _xlpm._分類,$AJ$1:$AJ$26,
    _xlpm._時間外,$AK$1:$AK$26,
    SUM(
        _xlfn._xlws.FILTER(_xlpm._時間外,
            _xlpm._分類 = 2)
    )
)</f>
        <v>#VALUE!</v>
      </c>
      <c r="AL29" s="15"/>
    </row>
    <row r="30" spans="1:38" ht="19.149999999999999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44" t="s">
        <v>150</v>
      </c>
      <c r="AI30" s="7" t="e">
        <f t="array" ref="AI30">_xlfn.LET(
    _xlpm._分類,$AJ$1:$AJ$26,
    _xlpm._工数,$AI$1:$AI$26,
    SUM(
        _xlfn._xlws.FILTER(_xlpm._工数,
            _xlpm._分類 = 0)
    )+AK30
)</f>
        <v>#VALUE!</v>
      </c>
      <c r="AJ30" s="15"/>
      <c r="AK30" s="7" t="e">
        <f t="array" ref="AK30">_xlfn.LET(
    _xlpm._分類,$AJ$1:$AJ$26,
    _xlpm._時間外,$AK$1:$AK$26,
    SUM(
        _xlfn._xlws.FILTER(_xlpm._時間外,
            _xlpm._分類 = 0)
    )
)</f>
        <v>#VALUE!</v>
      </c>
      <c r="AL30" s="15"/>
    </row>
    <row r="31" spans="1:38" ht="19.149999999999999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7" t="s">
        <v>151</v>
      </c>
      <c r="AK31" s="7" t="e">
        <f>SUM(AK28:AK30)</f>
        <v>#VALUE!</v>
      </c>
      <c r="AL31" s="15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7.62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0.5</v>
      </c>
      <c r="D6" s="56"/>
      <c r="E6" s="56"/>
      <c r="F6" s="56"/>
      <c r="G6" s="56"/>
      <c r="H6" s="57">
        <v>1</v>
      </c>
      <c r="I6" s="57" t="s">
        <v>135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0.5</v>
      </c>
      <c r="D10" s="56"/>
      <c r="E10" s="56"/>
      <c r="F10" s="56"/>
      <c r="G10" s="56"/>
      <c r="H10" s="57">
        <v>1</v>
      </c>
      <c r="I10" s="57" t="s">
        <v>135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0.5</v>
      </c>
      <c r="D18" s="56"/>
      <c r="E18" s="56"/>
      <c r="F18" s="56"/>
      <c r="G18" s="56"/>
      <c r="H18" s="57">
        <v>1</v>
      </c>
      <c r="I18" s="57" t="s">
        <v>135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 t="s">
        <v>223</v>
      </c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/>
      <c r="C5" s="56"/>
      <c r="D5" s="56"/>
      <c r="E5" s="56"/>
      <c r="F5" s="56"/>
      <c r="G5" s="56"/>
      <c r="H5" s="57">
        <v>1</v>
      </c>
      <c r="I5" s="57" t="s">
        <v>118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 t="s">
        <v>222</v>
      </c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/>
      <c r="C13" s="56"/>
      <c r="D13" s="56"/>
      <c r="E13" s="56"/>
      <c r="F13" s="56"/>
      <c r="G13" s="56"/>
      <c r="H13" s="57">
        <v>1</v>
      </c>
      <c r="I13" s="57" t="s">
        <v>118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0.53125</v>
      </c>
      <c r="C19" s="56">
        <v>0.70833333333333337</v>
      </c>
      <c r="D19" s="56"/>
      <c r="E19" s="56"/>
      <c r="F19" s="56">
        <v>0.61458333333333337</v>
      </c>
      <c r="G19" s="56">
        <v>0.625</v>
      </c>
      <c r="H19" s="57">
        <v>1</v>
      </c>
      <c r="I19" s="57" t="s">
        <v>139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 t="s">
        <v>222</v>
      </c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0.53125</v>
      </c>
      <c r="C38" s="56">
        <v>0.70833333333333337</v>
      </c>
      <c r="D38" s="56"/>
      <c r="E38" s="56"/>
      <c r="F38" s="56">
        <v>0.61458333333333337</v>
      </c>
      <c r="G38" s="56">
        <v>0.625</v>
      </c>
      <c r="H38" s="57">
        <v>1</v>
      </c>
      <c r="I38" s="57" t="s">
        <v>139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0.53125</v>
      </c>
      <c r="C47" s="56">
        <v>0.70833333333333337</v>
      </c>
      <c r="D47" s="56"/>
      <c r="E47" s="56"/>
      <c r="F47" s="56">
        <v>0.61458333333333337</v>
      </c>
      <c r="G47" s="56">
        <v>0.625</v>
      </c>
      <c r="H47" s="57">
        <v>1</v>
      </c>
      <c r="I47" s="57" t="s">
        <v>139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/>
      <c r="C7" s="56"/>
      <c r="D7" s="56"/>
      <c r="E7" s="56"/>
      <c r="F7" s="56"/>
      <c r="G7" s="56"/>
      <c r="H7" s="57">
        <v>1</v>
      </c>
      <c r="I7" s="57" t="s">
        <v>118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 t="s">
        <v>222</v>
      </c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/>
      <c r="C40" s="56"/>
      <c r="D40" s="56"/>
      <c r="E40" s="56"/>
      <c r="F40" s="56"/>
      <c r="G40" s="56"/>
      <c r="H40" s="57">
        <v>1</v>
      </c>
      <c r="I40" s="57" t="s">
        <v>118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/>
      <c r="C12" s="56"/>
      <c r="D12" s="56"/>
      <c r="E12" s="56"/>
      <c r="F12" s="56"/>
      <c r="G12" s="56"/>
      <c r="H12" s="57">
        <v>1</v>
      </c>
      <c r="I12" s="57" t="s">
        <v>118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/>
      <c r="C7" s="56"/>
      <c r="D7" s="56"/>
      <c r="E7" s="56"/>
      <c r="F7" s="56"/>
      <c r="G7" s="56"/>
      <c r="H7" s="57">
        <v>1</v>
      </c>
      <c r="I7" s="57" t="s">
        <v>118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0.5</v>
      </c>
      <c r="D10" s="56"/>
      <c r="E10" s="56"/>
      <c r="F10" s="56"/>
      <c r="G10" s="56"/>
      <c r="H10" s="57">
        <v>1</v>
      </c>
      <c r="I10" s="57" t="s">
        <v>135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/>
      <c r="C17" s="56"/>
      <c r="D17" s="56"/>
      <c r="E17" s="56"/>
      <c r="F17" s="56"/>
      <c r="G17" s="56"/>
      <c r="H17" s="57">
        <v>1</v>
      </c>
      <c r="I17" s="57" t="s">
        <v>118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/>
      <c r="C20" s="56"/>
      <c r="D20" s="56"/>
      <c r="E20" s="56"/>
      <c r="F20" s="56"/>
      <c r="G20" s="56"/>
      <c r="H20" s="57">
        <v>1</v>
      </c>
      <c r="I20" s="57" t="s">
        <v>118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0.53125</v>
      </c>
      <c r="C31" s="56">
        <v>0.70833333333333337</v>
      </c>
      <c r="D31" s="56"/>
      <c r="E31" s="56"/>
      <c r="F31" s="56">
        <v>0.61458333333333337</v>
      </c>
      <c r="G31" s="56">
        <v>0.625</v>
      </c>
      <c r="H31" s="57">
        <v>1</v>
      </c>
      <c r="I31" s="57" t="s">
        <v>139</v>
      </c>
      <c r="J31" s="57" t="s">
        <v>222</v>
      </c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0.5</v>
      </c>
      <c r="D38" s="56"/>
      <c r="E38" s="56"/>
      <c r="F38" s="56"/>
      <c r="G38" s="56"/>
      <c r="H38" s="57">
        <v>1</v>
      </c>
      <c r="I38" s="57" t="s">
        <v>135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/>
      <c r="C40" s="56"/>
      <c r="D40" s="56"/>
      <c r="E40" s="56"/>
      <c r="F40" s="56"/>
      <c r="G40" s="56"/>
      <c r="H40" s="57">
        <v>1</v>
      </c>
      <c r="I40" s="57" t="s">
        <v>118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/>
      <c r="C14" s="56"/>
      <c r="D14" s="56"/>
      <c r="E14" s="56"/>
      <c r="F14" s="56"/>
      <c r="G14" s="56"/>
      <c r="H14" s="57">
        <v>1</v>
      </c>
      <c r="I14" s="57" t="s">
        <v>118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/>
      <c r="C17" s="56"/>
      <c r="D17" s="56"/>
      <c r="E17" s="56"/>
      <c r="F17" s="56"/>
      <c r="G17" s="56"/>
      <c r="H17" s="57">
        <v>1</v>
      </c>
      <c r="I17" s="57" t="s">
        <v>118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8" width="9.25" bestFit="1" customWidth="1"/>
    <col min="9" max="9" width="11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176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176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176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176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176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0.5</v>
      </c>
      <c r="D27" s="56"/>
      <c r="E27" s="56"/>
      <c r="F27" s="56"/>
      <c r="G27" s="56"/>
      <c r="H27" s="57">
        <v>1</v>
      </c>
      <c r="I27" s="57" t="s">
        <v>135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0.5</v>
      </c>
      <c r="D11" s="56"/>
      <c r="E11" s="56"/>
      <c r="F11" s="56"/>
      <c r="G11" s="56"/>
      <c r="H11" s="57">
        <v>1</v>
      </c>
      <c r="I11" s="57" t="s">
        <v>135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/>
      <c r="C28" s="56"/>
      <c r="D28" s="56"/>
      <c r="E28" s="56"/>
      <c r="F28" s="56"/>
      <c r="G28" s="56"/>
      <c r="H28" s="57">
        <v>1</v>
      </c>
      <c r="I28" s="57" t="s">
        <v>118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/>
      <c r="C12" s="56"/>
      <c r="D12" s="56"/>
      <c r="E12" s="56"/>
      <c r="F12" s="56"/>
      <c r="G12" s="56"/>
      <c r="H12" s="57">
        <v>1</v>
      </c>
      <c r="I12" s="57" t="s">
        <v>118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/>
      <c r="C35" s="56"/>
      <c r="D35" s="56"/>
      <c r="E35" s="56"/>
      <c r="F35" s="56"/>
      <c r="G35" s="56"/>
      <c r="H35" s="57">
        <v>1</v>
      </c>
      <c r="I35" s="57" t="s">
        <v>118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0.5</v>
      </c>
      <c r="D25" s="56"/>
      <c r="E25" s="56"/>
      <c r="F25" s="56"/>
      <c r="G25" s="56"/>
      <c r="H25" s="57">
        <v>1</v>
      </c>
      <c r="I25" s="57" t="s">
        <v>135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9" t="s">
        <v>224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1</vt:i4>
      </vt:variant>
    </vt:vector>
  </HeadingPairs>
  <TitlesOfParts>
    <vt:vector size="21" baseType="lpstr">
      <vt:lpstr>メイン</vt:lpstr>
      <vt:lpstr>skills</vt:lpstr>
      <vt:lpstr>need</vt:lpstr>
      <vt:lpstr>3月カレンダー</vt:lpstr>
      <vt:lpstr>4月カレンダー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2026-03-30T00:03:44Z</cp:lastPrinted>
  <dcterms:created xsi:type="dcterms:W3CDTF">2026-03-20T04:59:22Z</dcterms:created>
  <dcterms:modified xsi:type="dcterms:W3CDTF">2026-03-30T04:43:56Z</dcterms:modified>
</cp:coreProperties>
</file>
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4363CA8C-F65D-47B3-9596-C4257EF8B7ED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need" sheetId="2" r:id="rId3"/>
    <sheet name="3月カレンダー" sheetId="9" r:id="rId4"/>
    <sheet name="4月カレンダー" sheetId="10" r:id="rId5"/>
    <sheet name="図司　智子" sheetId="3" r:id="rId6"/>
    <sheet name="宮島　　剛" sheetId="4" r:id="rId7"/>
    <sheet name="冨田　裕子" sheetId="5" r:id="rId8"/>
    <sheet name="森岡　真由美" sheetId="6" r:id="rId9"/>
    <sheet name="竹内　正美" sheetId="7" r:id="rId10"/>
    <sheet name="菅沼　めぐみ" sheetId="8" r:id="rId11"/>
    <sheet name="細川　守" sheetId="12" r:id="rId12"/>
    <sheet name="砂田　　奈美" sheetId="13" r:id="rId13"/>
    <sheet name="古家　　淳子" sheetId="14" r:id="rId14"/>
    <sheet name="森下　　誠" sheetId="15" r:id="rId15"/>
    <sheet name="小川　達也" sheetId="16" r:id="rId16"/>
    <sheet name="西田   憲史" sheetId="17" r:id="rId17"/>
    <sheet name="近藤　清高" sheetId="18" r:id="rId18"/>
    <sheet name="桐生　弘幸" sheetId="19" r:id="rId19"/>
    <sheet name="山本" sheetId="20" r:id="rId2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5" i="9" l="1"/>
  <c r="AG5" i="9" s="1"/>
  <c r="AG4" i="9"/>
  <c r="AF4" i="9"/>
  <c r="AE5" i="9"/>
  <c r="AK30" i="10" a="1"/>
  <c r="AK30" i="10"/>
  <c r="AK29" i="10" a="1"/>
  <c r="AK29" i="10" s="1"/>
  <c r="AK28" i="10" a="1"/>
  <c r="AK28" i="10"/>
  <c r="AK31" i="10" s="1"/>
  <c r="AI26" i="10"/>
  <c r="AI25" i="10"/>
  <c r="AI23" i="10"/>
  <c r="AI22" i="10"/>
  <c r="AI21" i="10"/>
  <c r="AI20" i="10"/>
  <c r="AI19" i="10"/>
  <c r="AI29" i="10" s="1" a="1"/>
  <c r="AI29" i="10" s="1"/>
  <c r="AI17" i="10"/>
  <c r="AI16" i="10"/>
  <c r="AI15" i="10"/>
  <c r="AI13" i="10"/>
  <c r="AI12" i="10"/>
  <c r="AI11" i="10"/>
  <c r="AI28" i="10" s="1" a="1"/>
  <c r="AI28" i="10" s="1"/>
  <c r="AI27" i="10" s="1"/>
  <c r="AI9" i="10"/>
  <c r="AI8" i="10"/>
  <c r="AI7" i="10"/>
  <c r="AI6" i="10"/>
  <c r="AI30" i="10" s="1" a="1"/>
  <c r="AI30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C4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B2" i="10"/>
  <c r="A2" i="10"/>
  <c r="AK30" i="9" a="1"/>
  <c r="AK30" i="9" s="1"/>
  <c r="AK29" i="9" a="1"/>
  <c r="AK29" i="9" s="1"/>
  <c r="AK28" i="9" a="1"/>
  <c r="AK28" i="9" s="1"/>
  <c r="AI26" i="9"/>
  <c r="AI25" i="9"/>
  <c r="AI23" i="9"/>
  <c r="AI22" i="9"/>
  <c r="AI21" i="9"/>
  <c r="AI20" i="9"/>
  <c r="AI19" i="9"/>
  <c r="AI17" i="9"/>
  <c r="AI16" i="9"/>
  <c r="AI15" i="9"/>
  <c r="AI13" i="9"/>
  <c r="AI12" i="9"/>
  <c r="AI11" i="9"/>
  <c r="AI9" i="9"/>
  <c r="AI8" i="9"/>
  <c r="AI7" i="9"/>
  <c r="AI6" i="9"/>
  <c r="B2" i="9"/>
  <c r="A2" i="9"/>
  <c r="C4" i="9" s="1"/>
  <c r="AK31" i="9" l="1"/>
  <c r="AI28" i="9" a="1"/>
  <c r="AI28" i="9" s="1"/>
  <c r="AI29" i="9" a="1"/>
  <c r="AI29" i="9" s="1"/>
  <c r="AI30" i="9" a="1"/>
  <c r="AI30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I27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00000000-0006-0000-08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R6" authorId="0" shapeId="0" xr:uid="{00000000-0006-0000-08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予備</t>
        </r>
      </text>
    </comment>
    <comment ref="V8" authorId="0" shapeId="0" xr:uid="{00000000-0006-0000-08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B9" authorId="0" shapeId="0" xr:uid="{00000000-0006-0000-08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F11" authorId="0" shapeId="0" xr:uid="{00000000-0006-0000-08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G12" authorId="0" shapeId="0" xr:uid="{00000000-0006-0000-08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K12" authorId="0" shapeId="0" xr:uid="{00000000-0006-0000-0800-000007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S12" authorId="0" shapeId="0" xr:uid="{00000000-0006-0000-0800-000008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病院</t>
        </r>
      </text>
    </comment>
    <comment ref="N13" authorId="0" shapeId="0" xr:uid="{00000000-0006-0000-0800-000009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T13" authorId="0" shapeId="0" xr:uid="{00000000-0006-0000-0800-00000A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5" authorId="0" shapeId="0" xr:uid="{00000000-0006-0000-0800-00000B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16" authorId="0" shapeId="0" xr:uid="{00000000-0006-0000-0800-00000C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H17" authorId="0" shapeId="0" xr:uid="{00000000-0006-0000-0800-00000D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K17" authorId="0" shapeId="0" xr:uid="{00000000-0006-0000-0800-00000E000000}">
      <text>
        <r>
          <rPr>
            <sz val="11"/>
            <color theme="1"/>
            <rFont val="游ゴシック"/>
            <family val="2"/>
            <charset val="128"/>
            <scheme val="minor"/>
          </rPr>
          <t>介護</t>
        </r>
      </text>
    </comment>
    <comment ref="R17" authorId="0" shapeId="0" xr:uid="{00000000-0006-0000-0800-00000F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U17" authorId="0" shapeId="0" xr:uid="{00000000-0006-0000-0800-000010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AC19" authorId="0" shapeId="0" xr:uid="{00000000-0006-0000-0800-000011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M20" authorId="0" shapeId="0" xr:uid="{00000000-0006-0000-0800-00001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0" authorId="0" shapeId="0" xr:uid="{00000000-0006-0000-0800-00001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1" authorId="0" shapeId="0" xr:uid="{00000000-0006-0000-0800-00001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V23" authorId="0" shapeId="0" xr:uid="{00000000-0006-0000-0800-00001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H13" authorId="0" shapeId="0" xr:uid="{00000000-0006-0000-0900-000001000000}">
      <text>
        <r>
          <rPr>
            <sz val="11"/>
            <color theme="1"/>
            <rFont val="游ゴシック"/>
            <family val="2"/>
            <charset val="128"/>
            <scheme val="minor"/>
          </rPr>
          <t xml:space="preserve">私用
</t>
        </r>
      </text>
    </comment>
    <comment ref="Q13" authorId="0" shapeId="0" xr:uid="{00000000-0006-0000-0900-000002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5" authorId="0" shapeId="0" xr:uid="{00000000-0006-0000-0900-000003000000}">
      <text>
        <r>
          <rPr>
            <sz val="11"/>
            <color theme="1"/>
            <rFont val="游ゴシック"/>
            <family val="2"/>
            <charset val="128"/>
            <scheme val="minor"/>
          </rPr>
          <t>入学式</t>
        </r>
      </text>
    </comment>
    <comment ref="H17" authorId="0" shapeId="0" xr:uid="{00000000-0006-0000-0900-000004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J17" authorId="0" shapeId="0" xr:uid="{00000000-0006-0000-0900-000005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  <comment ref="E20" authorId="0" shapeId="0" xr:uid="{00000000-0006-0000-0900-000006000000}">
      <text>
        <r>
          <rPr>
            <sz val="11"/>
            <color theme="1"/>
            <rFont val="游ゴシック"/>
            <family val="2"/>
            <charset val="128"/>
            <scheme val="minor"/>
          </rPr>
          <t>私用</t>
        </r>
      </text>
    </comment>
  </commentList>
</comments>
</file>

<file path=xl/sharedStrings.xml><?xml version="1.0" encoding="utf-8"?>
<sst xmlns="http://schemas.openxmlformats.org/spreadsheetml/2006/main" count="1488" uniqueCount="186">
  <si>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</si>
  <si>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</si>
  <si>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</si>
  <si>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</si>
  <si>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</si>
  <si>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</si>
  <si>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</si>
  <si>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</si>
  <si>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</si>
  <si>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</si>
  <si>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依頼NOがJRから始まる場合は2人とする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</si>
  <si>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</si>
  <si>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</si>
  <si>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</si>
  <si>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</si>
  <si>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</si>
  <si>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</si>
  <si>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</si>
  <si>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</si>
  <si>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</si>
  <si>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</si>
  <si>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</si>
  <si>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</si>
  <si>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</si>
  <si>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</si>
  <si>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</si>
  <si>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</si>
  <si>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</si>
  <si>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</si>
  <si>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</si>
  <si>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</si>
  <si>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</si>
  <si>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</si>
  <si>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</si>
  <si>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</si>
  <si>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</si>
  <si>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</si>
  <si>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</si>
  <si>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</si>
  <si>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</si>
  <si>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</si>
  <si>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</si>
  <si>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</si>
  <si>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</si>
  <si>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</si>
  <si>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</si>
  <si>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</si>
  <si>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</si>
  <si>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</si>
  <si>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</si>
  <si>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</si>
  <si>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</si>
  <si>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</si>
  <si>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</si>
  <si>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</si>
  <si>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</si>
  <si>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</si>
  <si>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</si>
  <si>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</si>
  <si>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</si>
  <si>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</si>
  <si>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</si>
  <si>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</si>
  <si>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</si>
  <si>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</si>
  <si>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</si>
  <si>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</si>
  <si>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</si>
  <si>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</si>
  <si>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</si>
  <si>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</si>
  <si>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</si>
  <si>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</si>
  <si>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</si>
  <si>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</si>
  <si>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</si>
  <si>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</si>
  <si>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</si>
  <si>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</si>
  <si>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</si>
  <si>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</si>
  <si>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</si>
  <si>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</si>
  <si>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</si>
  <si>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</si>
  <si>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</si>
  <si>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</si>
  <si>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</si>
  <si>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</si>
  <si>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</si>
  <si>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</si>
  <si>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</si>
  <si>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</si>
  <si>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</si>
  <si>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</si>
  <si>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</si>
  <si>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</si>
  <si>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</si>
  <si>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</si>
  <si>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</si>
  <si>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</si>
  <si>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</si>
  <si>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</si>
  <si>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</si>
  <si>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</si>
  <si>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</si>
  <si>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</si>
  <si>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</si>
  <si>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</si>
  <si>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</si>
  <si>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</si>
  <si>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</si>
  <si>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</si>
  <si>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</si>
  <si>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</si>
  <si>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前休(8:30～12:00休み)</t>
  </si>
  <si>
    <t>交差/年休予定表</t>
  </si>
  <si>
    <t>*</t>
  </si>
  <si>
    <t>年休</t>
  </si>
  <si>
    <t>国/湖</t>
  </si>
  <si>
    <t>交差</t>
  </si>
  <si>
    <t>出</t>
  </si>
  <si>
    <t>出張</t>
  </si>
  <si>
    <t>早/遅</t>
  </si>
  <si>
    <t>欠勤扱い</t>
  </si>
  <si>
    <t>後休(12:45～17:00休み)</t>
  </si>
  <si>
    <t>稼働日数</t>
  </si>
  <si>
    <t>主担当</t>
  </si>
  <si>
    <t>標準工数予定</t>
  </si>
  <si>
    <t>分類</t>
  </si>
  <si>
    <t>時間外</t>
  </si>
  <si>
    <t>細川　守</t>
  </si>
  <si>
    <t>砂田　　奈美</t>
  </si>
  <si>
    <t>砂田　奈美</t>
  </si>
  <si>
    <t>古家　　淳子</t>
  </si>
  <si>
    <t>国</t>
  </si>
  <si>
    <t>後休</t>
  </si>
  <si>
    <t>古家　淳子</t>
  </si>
  <si>
    <t>加工</t>
  </si>
  <si>
    <t>宮島　剛</t>
  </si>
  <si>
    <t>前休</t>
  </si>
  <si>
    <t>森下　　誠</t>
  </si>
  <si>
    <t>物流</t>
  </si>
  <si>
    <t>小川　達也</t>
  </si>
  <si>
    <t>西田   憲史</t>
  </si>
  <si>
    <t>西田　憲史</t>
  </si>
  <si>
    <t>近藤　清高</t>
  </si>
  <si>
    <t>桐生　弘幸</t>
  </si>
  <si>
    <t>山本</t>
  </si>
  <si>
    <t>工数合計</t>
  </si>
  <si>
    <t>後加工</t>
  </si>
  <si>
    <t>管理</t>
  </si>
  <si>
    <t>時間外合計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</si>
  <si>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</si>
  <si>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</si>
  <si>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</si>
  <si>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</si>
  <si>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</si>
  <si>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</si>
  <si>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</si>
  <si>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</si>
  <si>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</si>
  <si>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</si>
  <si>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</si>
  <si>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原反名が20010から始まる場合</t>
    <rPh sb="0" eb="3">
      <t>ゲンタンメイ</t>
    </rPh>
    <rPh sb="11" eb="12">
      <t>ハジ</t>
    </rPh>
    <rPh sb="14" eb="16">
      <t>バアイ</t>
    </rPh>
    <phoneticPr fontId="1"/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</si>
  <si>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</si>
  <si>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</si>
  <si>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</si>
  <si>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</si>
  <si>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</si>
  <si>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</si>
  <si>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</si>
  <si>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</si>
  <si>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</si>
  <si>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</si>
  <si>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</si>
  <si>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</si>
  <si>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</si>
  <si>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OP1</t>
    <phoneticPr fontId="1"/>
  </si>
  <si>
    <t>AS1</t>
    <phoneticPr fontId="1"/>
  </si>
  <si>
    <t>OP2</t>
    <phoneticPr fontId="1"/>
  </si>
  <si>
    <t>AS2</t>
    <phoneticPr fontId="1"/>
  </si>
  <si>
    <t>OP3</t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</si>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</sst>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3" fillId="2" borderId="0" xfId="0" applyFont="1" applyFill="1">
      <alignment vertical="center"/>
    </xf>
    <xf numFmtId="177" fontId="4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3" fillId="0" borderId="5" xfId="0" applyFont="1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2" fontId="0" fillId="0" borderId="5" xfId="0" applyNumberFormat="1" applyBorder="1">
      <alignment vertical="center"/>
    </xf>
    <xf numFmtId="0" fontId="3" fillId="4" borderId="5" xfId="0" applyFont="1" applyFill="1" applyBorder="1" applyAlignment="1">
      <alignment horizontal="right" vertical="center"/>
    </xf>
    <xf numFmtId="0" fontId="0" fillId="0" borderId="0" xfId="0" applyAlignment="1"/>
    <xf numFmtId="181" fontId="3" fillId="0" borderId="0" xfId="0" applyNumberFormat="1" applyFont="1">
      <alignment vertical="center"/>
    </xf>
    <xf numFmtId="181" fontId="0" fillId="0" borderId="0" xfId="0" applyNumberFormat="1">
      <alignment vertical="center"/>
    </xf>
    <xf numFmtId="182" fontId="3" fillId="0" borderId="0" xfId="0" applyNumberFormat="1" applyFont="1">
      <alignment vertical="center"/>
    </xf>
    <xf numFmtId="182" fontId="0" fillId="0" borderId="0" xfId="0" applyNumberFormat="1">
      <alignment vertical="center"/>
    </xf>
    <xf numFmtId="0" fontId="0" fillId="3" borderId="0" xfId="0" applyFill="1">
      <alignment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3" fillId="6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3" fillId="6" borderId="5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179" fontId="3" fillId="8" borderId="5" xfId="0" applyNumberFormat="1" applyFont="1" applyFill="1" applyBorder="1" applyAlignment="1">
      <alignment horizontal="center" vertical="center"/>
    </xf>
    <xf numFmtId="176" fontId="3" fillId="8" borderId="5" xfId="0" applyNumberFormat="1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9" borderId="5" xfId="0" applyFont="1" applyFill="1" applyBorder="1">
      <alignment vertical="center"/>
    </xf>
    <xf numFmtId="0" fontId="5" fillId="9" borderId="5" xfId="0" applyFont="1" applyFill="1" applyBorder="1">
      <alignment vertical="center"/>
    </xf>
    <xf numFmtId="0" fontId="5" fillId="9" borderId="5" xfId="0" applyFont="1" applyFill="1" applyBorder="1" applyAlignment="1"/>
    <xf numFmtId="0" fontId="6" fillId="0" borderId="0" xfId="0" applyFont="1">
      <alignment vertical="center"/>
    </xf>
    <xf numFmtId="0" fontId="6" fillId="0" borderId="5" xfId="0" applyFont="1" applyBorder="1">
      <alignment vertical="center"/>
    </xf>
    <xf numFmtId="0" fontId="5" fillId="4" borderId="5" xfId="0" applyFont="1" applyFill="1" applyBorder="1">
      <alignment vertical="center"/>
    </xf>
    <xf numFmtId="0" fontId="6" fillId="4" borderId="5" xfId="0" applyFont="1" applyFill="1" applyBorder="1">
      <alignment vertical="center"/>
    </xf>
    <xf numFmtId="0" fontId="5" fillId="0" borderId="5" xfId="0" applyFont="1" applyBorder="1" applyAlignment="1"/>
    <xf numFmtId="0" fontId="6" fillId="9" borderId="5" xfId="0" applyFont="1" applyFill="1" applyBorder="1">
      <alignment vertical="center"/>
    </xf>
    <xf numFmtId="0" fontId="6" fillId="2" borderId="5" xfId="0" applyFont="1" applyFill="1" applyBorder="1">
      <alignment vertical="center"/>
    </xf>
    <xf numFmtId="0" fontId="6" fillId="2" borderId="5" xfId="0" applyFont="1" applyFill="1" applyBorder="1" applyAlignment="1"/>
    <xf numFmtId="0" fontId="5" fillId="0" borderId="6" xfId="0" applyFont="1" applyBorder="1">
      <alignment vertical="center"/>
    </xf>
    <xf numFmtId="0" fontId="6" fillId="0" borderId="0" xfId="0" applyFont="1" applyAlignment="1"/>
    <xf numFmtId="0" fontId="5" fillId="0" borderId="0" xfId="0" applyFont="1" applyAlignment="1"/>
    <xf numFmtId="0" fontId="3" fillId="9" borderId="7" xfId="0" applyFont="1" applyFill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35560</xdr:colOff>
      <xdr:row>2</xdr:row>
      <xdr:rowOff>149225</xdr:rowOff>
    </xdr:to>
    <xdr:sp macro="アニメ付き_カレンダーから出勤簿生成" textlink="">
      <xdr:nvSpPr>
        <xdr:cNvPr id="2" name="CoolBtn_20260328091222_311626">
          <a:extLst>
            <a:ext uri="{FF2B5EF4-FFF2-40B4-BE49-F238E27FC236}">
              <a16:creationId xmlns:a16="http://schemas.microsoft.com/office/drawing/2014/main" id="{01341C84-F76F-2F01-0307-24CBB122F781}"/>
            </a:ext>
          </a:extLst>
        </xdr:cNvPr>
        <xdr:cNvSpPr/>
      </xdr:nvSpPr>
      <xdr:spPr>
        <a:xfrm>
          <a:off x="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"/>
  <sheetViews>
    <sheetView tabSelected="1" workbookViewId="0">
      <selection activeCell="K19" sqref="K19"/>
    </sheetView>
  </sheetViews>
  <sheetFormatPr defaultRowHeight="18" x14ac:dyDescent="0.45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P8"/>
  <sheetViews>
    <sheetView workbookViewId="0">
      <selection activeCell="J17" sqref="J17"/>
    </sheetView>
  </sheetViews>
  <sheetFormatPr defaultRowHeight="18" x14ac:dyDescent="0.45"/>
  <cols>
    <col min="1" max="1" width="13" style="19" bestFit="1" customWidth="1"/>
    <col min="2" max="2" width="11.5" bestFit="1" customWidth="1"/>
    <col min="3" max="4" width="12.69921875" bestFit="1" customWidth="1"/>
    <col min="5" max="6" width="18.3984375" bestFit="1" customWidth="1"/>
    <col min="7" max="8" width="15.09765625" bestFit="1" customWidth="1"/>
    <col min="9" max="11" width="18.3984375" bestFit="1" customWidth="1"/>
    <col min="12" max="12" width="15.09765625" bestFit="1" customWidth="1"/>
    <col min="13" max="13" width="18.3984375" bestFit="1" customWidth="1"/>
    <col min="14" max="14" width="11.5" bestFit="1" customWidth="1"/>
    <col min="15" max="15" width="15.09765625" bestFit="1" customWidth="1"/>
    <col min="16" max="16" width="14.3984375" bestFit="1" customWidth="1"/>
  </cols>
  <sheetData>
    <row r="1" spans="1:16" x14ac:dyDescent="0.45">
      <c r="A1" s="35" t="s">
        <v>154</v>
      </c>
      <c r="B1" s="35" t="s">
        <v>2</v>
      </c>
      <c r="C1" s="35" t="s">
        <v>2</v>
      </c>
      <c r="D1" s="35" t="s">
        <v>3</v>
      </c>
      <c r="E1" s="35" t="s">
        <v>4</v>
      </c>
      <c r="F1" s="35" t="s">
        <v>5</v>
      </c>
      <c r="G1" s="35" t="s">
        <v>6</v>
      </c>
      <c r="H1" s="35" t="s">
        <v>162</v>
      </c>
      <c r="I1" s="35" t="s">
        <v>162</v>
      </c>
      <c r="J1" s="35" t="s">
        <v>162</v>
      </c>
      <c r="K1" s="35" t="s">
        <v>163</v>
      </c>
      <c r="L1" s="35" t="s">
        <v>163</v>
      </c>
      <c r="M1" s="35" t="s">
        <v>163</v>
      </c>
      <c r="N1" s="35" t="s">
        <v>163</v>
      </c>
      <c r="O1" s="35" t="s">
        <v>7</v>
      </c>
      <c r="P1" s="35" t="s">
        <v>184</v>
      </c>
    </row>
    <row r="2" spans="1:16" x14ac:dyDescent="0.45">
      <c r="A2" s="35" t="s">
        <v>155</v>
      </c>
      <c r="B2" s="35" t="s">
        <v>156</v>
      </c>
      <c r="C2" s="35" t="s">
        <v>157</v>
      </c>
      <c r="D2" s="35" t="s">
        <v>157</v>
      </c>
      <c r="E2" s="35" t="s">
        <v>158</v>
      </c>
      <c r="F2" s="35" t="s">
        <v>159</v>
      </c>
      <c r="G2" s="35" t="s">
        <v>160</v>
      </c>
      <c r="H2" s="35" t="s">
        <v>161</v>
      </c>
      <c r="I2" s="35" t="s">
        <v>158</v>
      </c>
      <c r="J2" s="35" t="s">
        <v>159</v>
      </c>
      <c r="K2" s="35" t="s">
        <v>159</v>
      </c>
      <c r="L2" s="35" t="s">
        <v>160</v>
      </c>
      <c r="M2" s="35" t="s">
        <v>158</v>
      </c>
      <c r="N2" s="35" t="s">
        <v>156</v>
      </c>
      <c r="O2" s="49" t="s">
        <v>161</v>
      </c>
      <c r="P2" s="35" t="s">
        <v>161</v>
      </c>
    </row>
    <row r="3" spans="1:16" x14ac:dyDescent="0.45">
      <c r="A3" s="1" t="s">
        <v>109</v>
      </c>
      <c r="B3" s="1"/>
      <c r="C3" s="1" t="s">
        <v>180</v>
      </c>
      <c r="D3" s="1" t="s">
        <v>180</v>
      </c>
      <c r="E3" s="1" t="s">
        <v>180</v>
      </c>
      <c r="F3" s="1" t="s">
        <v>180</v>
      </c>
      <c r="G3" s="1" t="s">
        <v>180</v>
      </c>
      <c r="H3" s="1" t="s">
        <v>180</v>
      </c>
      <c r="I3" s="1" t="s">
        <v>178</v>
      </c>
      <c r="J3" s="1" t="s">
        <v>180</v>
      </c>
      <c r="K3" s="1" t="s">
        <v>180</v>
      </c>
      <c r="L3" s="1" t="s">
        <v>180</v>
      </c>
      <c r="M3" s="1" t="s">
        <v>180</v>
      </c>
      <c r="N3" s="1"/>
      <c r="O3" s="1" t="s">
        <v>182</v>
      </c>
      <c r="P3" s="1" t="s">
        <v>180</v>
      </c>
    </row>
    <row r="4" spans="1:16" x14ac:dyDescent="0.45">
      <c r="A4" s="1" t="s">
        <v>110</v>
      </c>
      <c r="B4" s="1" t="s">
        <v>178</v>
      </c>
      <c r="C4" s="1" t="s">
        <v>178</v>
      </c>
      <c r="D4" s="1" t="s">
        <v>178</v>
      </c>
      <c r="E4" s="1" t="s">
        <v>180</v>
      </c>
      <c r="F4" s="1" t="s">
        <v>178</v>
      </c>
      <c r="G4" s="1" t="s">
        <v>181</v>
      </c>
      <c r="H4" s="1" t="s">
        <v>178</v>
      </c>
      <c r="I4" s="1" t="s">
        <v>180</v>
      </c>
      <c r="J4" s="1" t="s">
        <v>178</v>
      </c>
      <c r="K4" s="1" t="s">
        <v>178</v>
      </c>
      <c r="L4" s="1" t="s">
        <v>178</v>
      </c>
      <c r="M4" s="1" t="s">
        <v>180</v>
      </c>
      <c r="N4" s="1" t="s">
        <v>178</v>
      </c>
      <c r="O4" s="1" t="s">
        <v>178</v>
      </c>
      <c r="P4" s="1" t="s">
        <v>178</v>
      </c>
    </row>
    <row r="5" spans="1:16" x14ac:dyDescent="0.45">
      <c r="A5" s="1" t="s">
        <v>111</v>
      </c>
      <c r="B5" s="1" t="s">
        <v>179</v>
      </c>
      <c r="C5" s="1" t="s">
        <v>178</v>
      </c>
      <c r="D5" s="1" t="s">
        <v>178</v>
      </c>
      <c r="E5" s="1" t="s">
        <v>178</v>
      </c>
      <c r="F5" s="1" t="s">
        <v>178</v>
      </c>
      <c r="G5" s="1" t="s">
        <v>178</v>
      </c>
      <c r="H5" s="1" t="s">
        <v>178</v>
      </c>
      <c r="I5" s="1" t="s">
        <v>178</v>
      </c>
      <c r="J5" s="1" t="s">
        <v>178</v>
      </c>
      <c r="K5" s="1" t="s">
        <v>178</v>
      </c>
      <c r="L5" s="1" t="s">
        <v>178</v>
      </c>
      <c r="M5" s="1" t="s">
        <v>178</v>
      </c>
      <c r="N5" s="1" t="s">
        <v>179</v>
      </c>
      <c r="O5" s="1" t="s">
        <v>180</v>
      </c>
      <c r="P5" s="1" t="s">
        <v>178</v>
      </c>
    </row>
    <row r="6" spans="1:16" x14ac:dyDescent="0.45">
      <c r="A6" s="1" t="s">
        <v>112</v>
      </c>
      <c r="B6" s="1"/>
      <c r="C6" s="1" t="s">
        <v>180</v>
      </c>
      <c r="D6" s="1" t="s">
        <v>180</v>
      </c>
      <c r="E6" s="1" t="s">
        <v>178</v>
      </c>
      <c r="F6" s="1" t="s">
        <v>178</v>
      </c>
      <c r="G6" s="1" t="s">
        <v>181</v>
      </c>
      <c r="H6" s="1" t="s">
        <v>178</v>
      </c>
      <c r="I6" s="1" t="s">
        <v>178</v>
      </c>
      <c r="J6" s="1" t="s">
        <v>178</v>
      </c>
      <c r="K6" s="1" t="s">
        <v>178</v>
      </c>
      <c r="L6" s="1" t="s">
        <v>178</v>
      </c>
      <c r="M6" s="1" t="s">
        <v>178</v>
      </c>
      <c r="N6" s="1"/>
      <c r="O6" s="1" t="s">
        <v>178</v>
      </c>
      <c r="P6" s="1" t="s">
        <v>178</v>
      </c>
    </row>
    <row r="7" spans="1:16" x14ac:dyDescent="0.45">
      <c r="A7" s="1" t="s">
        <v>113</v>
      </c>
      <c r="B7" s="1" t="s">
        <v>178</v>
      </c>
      <c r="C7" s="1" t="s">
        <v>181</v>
      </c>
      <c r="D7" s="1" t="s">
        <v>181</v>
      </c>
      <c r="E7" s="1" t="s">
        <v>180</v>
      </c>
      <c r="F7" s="1" t="s">
        <v>180</v>
      </c>
      <c r="G7" s="1" t="s">
        <v>180</v>
      </c>
      <c r="H7" s="1" t="s">
        <v>178</v>
      </c>
      <c r="I7" s="1" t="s">
        <v>180</v>
      </c>
      <c r="J7" s="1" t="s">
        <v>178</v>
      </c>
      <c r="K7" s="1" t="s">
        <v>178</v>
      </c>
      <c r="L7" s="1" t="s">
        <v>180</v>
      </c>
      <c r="M7" s="1" t="s">
        <v>180</v>
      </c>
      <c r="N7" s="1" t="s">
        <v>178</v>
      </c>
      <c r="O7" s="1" t="s">
        <v>178</v>
      </c>
      <c r="P7" s="1" t="s">
        <v>178</v>
      </c>
    </row>
    <row r="8" spans="1:16" x14ac:dyDescent="0.45">
      <c r="A8" s="1" t="s">
        <v>114</v>
      </c>
      <c r="B8" s="1"/>
      <c r="C8" s="1" t="s">
        <v>179</v>
      </c>
      <c r="D8" s="1" t="s">
        <v>179</v>
      </c>
      <c r="E8" s="1" t="s">
        <v>179</v>
      </c>
      <c r="F8" s="1" t="s">
        <v>179</v>
      </c>
      <c r="G8" s="1" t="s">
        <v>179</v>
      </c>
      <c r="H8" s="1" t="s">
        <v>179</v>
      </c>
      <c r="I8" s="1" t="s">
        <v>179</v>
      </c>
      <c r="J8" s="1" t="s">
        <v>179</v>
      </c>
      <c r="K8" s="1" t="s">
        <v>179</v>
      </c>
      <c r="L8" s="1" t="s">
        <v>179</v>
      </c>
      <c r="M8" s="1" t="s">
        <v>179</v>
      </c>
      <c r="N8" s="1"/>
      <c r="O8" s="1" t="s">
        <v>180</v>
      </c>
      <c r="P8" s="1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R106"/>
  <sheetViews>
    <sheetView workbookViewId="0">
      <selection activeCell="B16" sqref="B16"/>
    </sheetView>
  </sheetViews>
  <sheetFormatPr defaultRowHeight="12.6" x14ac:dyDescent="0.15"/>
  <cols>
    <col min="1" max="1" width="13" style="48" bestFit="1" customWidth="1"/>
    <col min="2" max="2" width="11.8984375" style="38" bestFit="1" customWidth="1"/>
    <col min="3" max="3" width="38" style="47" bestFit="1" customWidth="1"/>
    <col min="4" max="4" width="11.5" style="38" bestFit="1" customWidth="1"/>
    <col min="5" max="6" width="12.69921875" style="38" bestFit="1" customWidth="1"/>
    <col min="7" max="8" width="18.3984375" style="38" bestFit="1" customWidth="1"/>
    <col min="9" max="11" width="15.09765625" style="38" bestFit="1" customWidth="1"/>
    <col min="12" max="17" width="18.3984375" style="38" bestFit="1" customWidth="1"/>
    <col min="18" max="18" width="15.09765625" style="38" bestFit="1" customWidth="1"/>
    <col min="19" max="16384" width="8.796875" style="38"/>
  </cols>
  <sheetData>
    <row r="1" spans="1:18" x14ac:dyDescent="0.15">
      <c r="A1" s="36" t="s">
        <v>154</v>
      </c>
      <c r="B1" s="36"/>
      <c r="C1" s="37"/>
      <c r="D1" s="36" t="s">
        <v>2</v>
      </c>
      <c r="E1" s="36" t="s">
        <v>183</v>
      </c>
      <c r="F1" s="36" t="s">
        <v>3</v>
      </c>
      <c r="G1" s="36" t="s">
        <v>4</v>
      </c>
      <c r="H1" s="36" t="s">
        <v>5</v>
      </c>
      <c r="I1" s="36" t="s">
        <v>6</v>
      </c>
      <c r="J1" s="36" t="s">
        <v>162</v>
      </c>
      <c r="K1" s="36" t="s">
        <v>184</v>
      </c>
      <c r="L1" s="36" t="s">
        <v>162</v>
      </c>
      <c r="M1" s="36" t="s">
        <v>162</v>
      </c>
      <c r="N1" s="36" t="s">
        <v>163</v>
      </c>
      <c r="O1" s="36" t="s">
        <v>163</v>
      </c>
      <c r="P1" s="36" t="s">
        <v>163</v>
      </c>
      <c r="Q1" s="36" t="s">
        <v>163</v>
      </c>
      <c r="R1" s="36" t="s">
        <v>7</v>
      </c>
    </row>
    <row r="2" spans="1:18" x14ac:dyDescent="0.45">
      <c r="A2" s="36" t="s">
        <v>155</v>
      </c>
      <c r="B2" s="36"/>
      <c r="C2" s="36"/>
      <c r="D2" s="36" t="s">
        <v>156</v>
      </c>
      <c r="E2" s="36" t="s">
        <v>157</v>
      </c>
      <c r="F2" s="36" t="s">
        <v>157</v>
      </c>
      <c r="G2" s="36" t="s">
        <v>158</v>
      </c>
      <c r="H2" s="36" t="s">
        <v>159</v>
      </c>
      <c r="I2" s="36" t="s">
        <v>160</v>
      </c>
      <c r="J2" s="36" t="s">
        <v>161</v>
      </c>
      <c r="K2" s="36" t="s">
        <v>161</v>
      </c>
      <c r="L2" s="36" t="s">
        <v>158</v>
      </c>
      <c r="M2" s="36" t="s">
        <v>159</v>
      </c>
      <c r="N2" s="36" t="s">
        <v>159</v>
      </c>
      <c r="O2" s="36" t="s">
        <v>160</v>
      </c>
      <c r="P2" s="36" t="s">
        <v>158</v>
      </c>
      <c r="Q2" s="36" t="s">
        <v>156</v>
      </c>
      <c r="R2" s="36" t="s">
        <v>161</v>
      </c>
    </row>
    <row r="3" spans="1:18" x14ac:dyDescent="0.45">
      <c r="A3" s="36" t="s">
        <v>165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1:18" x14ac:dyDescent="0.45">
      <c r="A4" s="40" t="s">
        <v>153</v>
      </c>
      <c r="B4" s="41"/>
      <c r="C4" s="41"/>
      <c r="D4" s="41">
        <v>2</v>
      </c>
      <c r="E4" s="41">
        <v>3</v>
      </c>
      <c r="F4" s="41">
        <v>3</v>
      </c>
      <c r="G4" s="41">
        <v>2</v>
      </c>
      <c r="H4" s="41">
        <v>2</v>
      </c>
      <c r="I4" s="41">
        <v>2</v>
      </c>
      <c r="J4" s="41">
        <v>1</v>
      </c>
      <c r="K4" s="41">
        <v>1</v>
      </c>
      <c r="L4" s="41">
        <v>1</v>
      </c>
      <c r="M4" s="41">
        <v>1</v>
      </c>
      <c r="N4" s="41">
        <v>1</v>
      </c>
      <c r="O4" s="41">
        <v>1</v>
      </c>
      <c r="P4" s="41">
        <v>1</v>
      </c>
      <c r="Q4" s="41">
        <v>1</v>
      </c>
      <c r="R4" s="41">
        <v>1</v>
      </c>
    </row>
    <row r="5" spans="1:18" x14ac:dyDescent="0.45">
      <c r="A5" s="40" t="s">
        <v>185</v>
      </c>
      <c r="B5" s="41"/>
      <c r="C5" s="41"/>
      <c r="D5" s="41">
        <v>1</v>
      </c>
      <c r="E5" s="41">
        <v>1</v>
      </c>
      <c r="F5" s="41">
        <v>1</v>
      </c>
      <c r="G5" s="41"/>
      <c r="H5" s="41">
        <v>1</v>
      </c>
      <c r="I5" s="41"/>
      <c r="J5" s="41"/>
      <c r="K5" s="41">
        <v>1</v>
      </c>
      <c r="L5" s="41"/>
      <c r="M5" s="41"/>
      <c r="N5" s="41"/>
      <c r="O5" s="41"/>
      <c r="P5" s="41"/>
      <c r="Q5" s="41"/>
      <c r="R5" s="41">
        <v>1</v>
      </c>
    </row>
    <row r="6" spans="1:18" x14ac:dyDescent="0.15">
      <c r="A6" s="42"/>
      <c r="B6" s="43" t="s">
        <v>0</v>
      </c>
      <c r="C6" s="43" t="s">
        <v>1</v>
      </c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</row>
    <row r="7" spans="1:18" x14ac:dyDescent="0.45">
      <c r="A7" s="36" t="s">
        <v>8</v>
      </c>
      <c r="B7" s="39" t="s">
        <v>9</v>
      </c>
      <c r="C7" s="44" t="s">
        <v>10</v>
      </c>
      <c r="D7" s="44"/>
      <c r="E7" s="44">
        <v>2</v>
      </c>
      <c r="F7" s="44">
        <v>2</v>
      </c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1:18" x14ac:dyDescent="0.15">
      <c r="A8" s="36" t="s">
        <v>11</v>
      </c>
      <c r="B8" s="39"/>
      <c r="C8" s="45" t="s">
        <v>164</v>
      </c>
      <c r="D8" s="44">
        <v>3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1:18" x14ac:dyDescent="0.15">
      <c r="A9" s="36" t="s">
        <v>12</v>
      </c>
      <c r="B9" s="39"/>
      <c r="C9" s="45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1:18" x14ac:dyDescent="0.15">
      <c r="A10" s="36" t="s">
        <v>13</v>
      </c>
      <c r="B10" s="39"/>
      <c r="C10" s="45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</row>
    <row r="11" spans="1:18" x14ac:dyDescent="0.15">
      <c r="A11" s="36" t="s">
        <v>14</v>
      </c>
      <c r="B11" s="39"/>
      <c r="C11" s="4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</row>
    <row r="12" spans="1:18" x14ac:dyDescent="0.15">
      <c r="A12" s="36" t="s">
        <v>15</v>
      </c>
      <c r="B12" s="39"/>
      <c r="C12" s="45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</row>
    <row r="13" spans="1:18" x14ac:dyDescent="0.15">
      <c r="A13" s="36" t="s">
        <v>16</v>
      </c>
      <c r="B13" s="39"/>
      <c r="C13" s="4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</row>
    <row r="14" spans="1:18" x14ac:dyDescent="0.15">
      <c r="A14" s="36" t="s">
        <v>17</v>
      </c>
      <c r="B14" s="39"/>
      <c r="C14" s="4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</row>
    <row r="15" spans="1:18" x14ac:dyDescent="0.15">
      <c r="A15" s="36" t="s">
        <v>18</v>
      </c>
      <c r="B15" s="39"/>
      <c r="C15" s="4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</row>
    <row r="16" spans="1:18" x14ac:dyDescent="0.15">
      <c r="A16" s="36" t="s">
        <v>19</v>
      </c>
      <c r="B16" s="39"/>
      <c r="C16" s="4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</row>
    <row r="17" spans="1:18" x14ac:dyDescent="0.15">
      <c r="A17" s="36" t="s">
        <v>20</v>
      </c>
      <c r="B17" s="39"/>
      <c r="C17" s="45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x14ac:dyDescent="0.15">
      <c r="A18" s="36" t="s">
        <v>21</v>
      </c>
      <c r="B18" s="39"/>
      <c r="C18" s="45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x14ac:dyDescent="0.15">
      <c r="A19" s="36" t="s">
        <v>22</v>
      </c>
      <c r="B19" s="39"/>
      <c r="C19" s="45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</row>
    <row r="20" spans="1:18" x14ac:dyDescent="0.15">
      <c r="A20" s="36" t="s">
        <v>23</v>
      </c>
      <c r="B20" s="39"/>
      <c r="C20" s="4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</row>
    <row r="21" spans="1:18" x14ac:dyDescent="0.15">
      <c r="A21" s="36" t="s">
        <v>24</v>
      </c>
      <c r="B21" s="39"/>
      <c r="C21" s="45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</row>
    <row r="22" spans="1:18" x14ac:dyDescent="0.15">
      <c r="A22" s="36" t="s">
        <v>25</v>
      </c>
      <c r="B22" s="39"/>
      <c r="C22" s="45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1:18" x14ac:dyDescent="0.15">
      <c r="A23" s="36" t="s">
        <v>26</v>
      </c>
      <c r="B23" s="39"/>
      <c r="C23" s="4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</row>
    <row r="24" spans="1:18" x14ac:dyDescent="0.15">
      <c r="A24" s="36" t="s">
        <v>27</v>
      </c>
      <c r="B24" s="39"/>
      <c r="C24" s="4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</row>
    <row r="25" spans="1:18" x14ac:dyDescent="0.15">
      <c r="A25" s="36" t="s">
        <v>28</v>
      </c>
      <c r="B25" s="39"/>
      <c r="C25" s="45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</row>
    <row r="26" spans="1:18" x14ac:dyDescent="0.15">
      <c r="A26" s="36" t="s">
        <v>29</v>
      </c>
      <c r="B26" s="39"/>
      <c r="C26" s="4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</row>
    <row r="27" spans="1:18" x14ac:dyDescent="0.15">
      <c r="A27" s="36" t="s">
        <v>30</v>
      </c>
      <c r="B27" s="39"/>
      <c r="C27" s="4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</row>
    <row r="28" spans="1:18" x14ac:dyDescent="0.15">
      <c r="A28" s="36" t="s">
        <v>31</v>
      </c>
      <c r="B28" s="39"/>
      <c r="C28" s="45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</row>
    <row r="29" spans="1:18" x14ac:dyDescent="0.15">
      <c r="A29" s="36" t="s">
        <v>32</v>
      </c>
      <c r="B29" s="39"/>
      <c r="C29" s="45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</row>
    <row r="30" spans="1:18" x14ac:dyDescent="0.15">
      <c r="A30" s="36" t="s">
        <v>33</v>
      </c>
      <c r="B30" s="39"/>
      <c r="C30" s="45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</row>
    <row r="31" spans="1:18" x14ac:dyDescent="0.15">
      <c r="A31" s="36" t="s">
        <v>34</v>
      </c>
      <c r="B31" s="39"/>
      <c r="C31" s="45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</row>
    <row r="32" spans="1:18" x14ac:dyDescent="0.15">
      <c r="A32" s="36" t="s">
        <v>35</v>
      </c>
      <c r="B32" s="39"/>
      <c r="C32" s="45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</row>
    <row r="33" spans="1:18" x14ac:dyDescent="0.15">
      <c r="A33" s="36" t="s">
        <v>36</v>
      </c>
      <c r="B33" s="39"/>
      <c r="C33" s="45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</row>
    <row r="34" spans="1:18" x14ac:dyDescent="0.15">
      <c r="A34" s="36" t="s">
        <v>37</v>
      </c>
      <c r="B34" s="39"/>
      <c r="C34" s="45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</row>
    <row r="35" spans="1:18" x14ac:dyDescent="0.15">
      <c r="A35" s="36" t="s">
        <v>38</v>
      </c>
      <c r="B35" s="39"/>
      <c r="C35" s="45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</row>
    <row r="36" spans="1:18" x14ac:dyDescent="0.15">
      <c r="A36" s="36" t="s">
        <v>39</v>
      </c>
      <c r="B36" s="39"/>
      <c r="C36" s="45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</row>
    <row r="37" spans="1:18" x14ac:dyDescent="0.15">
      <c r="A37" s="36" t="s">
        <v>40</v>
      </c>
      <c r="B37" s="39"/>
      <c r="C37" s="45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</row>
    <row r="38" spans="1:18" x14ac:dyDescent="0.15">
      <c r="A38" s="36" t="s">
        <v>41</v>
      </c>
      <c r="B38" s="39"/>
      <c r="C38" s="45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</row>
    <row r="39" spans="1:18" x14ac:dyDescent="0.15">
      <c r="A39" s="36" t="s">
        <v>42</v>
      </c>
      <c r="B39" s="39"/>
      <c r="C39" s="45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</row>
    <row r="40" spans="1:18" x14ac:dyDescent="0.15">
      <c r="A40" s="36" t="s">
        <v>43</v>
      </c>
      <c r="B40" s="39"/>
      <c r="C40" s="45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</row>
    <row r="41" spans="1:18" x14ac:dyDescent="0.15">
      <c r="A41" s="36" t="s">
        <v>44</v>
      </c>
      <c r="B41" s="39"/>
      <c r="C41" s="45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</row>
    <row r="42" spans="1:18" x14ac:dyDescent="0.15">
      <c r="A42" s="36" t="s">
        <v>45</v>
      </c>
      <c r="B42" s="39"/>
      <c r="C42" s="45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</row>
    <row r="43" spans="1:18" x14ac:dyDescent="0.15">
      <c r="A43" s="36" t="s">
        <v>46</v>
      </c>
      <c r="B43" s="39"/>
      <c r="C43" s="45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</row>
    <row r="44" spans="1:18" x14ac:dyDescent="0.15">
      <c r="A44" s="36" t="s">
        <v>47</v>
      </c>
      <c r="B44" s="39"/>
      <c r="C44" s="45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</row>
    <row r="45" spans="1:18" x14ac:dyDescent="0.15">
      <c r="A45" s="36" t="s">
        <v>48</v>
      </c>
      <c r="B45" s="39"/>
      <c r="C45" s="45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</row>
    <row r="46" spans="1:18" x14ac:dyDescent="0.15">
      <c r="A46" s="36" t="s">
        <v>49</v>
      </c>
      <c r="B46" s="39"/>
      <c r="C46" s="45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</row>
    <row r="47" spans="1:18" x14ac:dyDescent="0.15">
      <c r="A47" s="36" t="s">
        <v>50</v>
      </c>
      <c r="B47" s="39"/>
      <c r="C47" s="45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</row>
    <row r="48" spans="1:18" x14ac:dyDescent="0.15">
      <c r="A48" s="36" t="s">
        <v>51</v>
      </c>
      <c r="B48" s="39"/>
      <c r="C48" s="45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</row>
    <row r="49" spans="1:18" x14ac:dyDescent="0.15">
      <c r="A49" s="36" t="s">
        <v>52</v>
      </c>
      <c r="B49" s="39"/>
      <c r="C49" s="45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</row>
    <row r="50" spans="1:18" x14ac:dyDescent="0.15">
      <c r="A50" s="36" t="s">
        <v>53</v>
      </c>
      <c r="B50" s="39"/>
      <c r="C50" s="45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</row>
    <row r="51" spans="1:18" x14ac:dyDescent="0.15">
      <c r="A51" s="36" t="s">
        <v>54</v>
      </c>
      <c r="B51" s="39"/>
      <c r="C51" s="45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</row>
    <row r="52" spans="1:18" x14ac:dyDescent="0.15">
      <c r="A52" s="36" t="s">
        <v>55</v>
      </c>
      <c r="B52" s="39"/>
      <c r="C52" s="45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</row>
    <row r="53" spans="1:18" x14ac:dyDescent="0.15">
      <c r="A53" s="36" t="s">
        <v>56</v>
      </c>
      <c r="B53" s="39"/>
      <c r="C53" s="45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</row>
    <row r="54" spans="1:18" x14ac:dyDescent="0.15">
      <c r="A54" s="36" t="s">
        <v>57</v>
      </c>
      <c r="B54" s="39"/>
      <c r="C54" s="45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</row>
    <row r="55" spans="1:18" x14ac:dyDescent="0.15">
      <c r="A55" s="36" t="s">
        <v>58</v>
      </c>
      <c r="B55" s="39"/>
      <c r="C55" s="45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</row>
    <row r="56" spans="1:18" x14ac:dyDescent="0.15">
      <c r="A56" s="36" t="s">
        <v>59</v>
      </c>
      <c r="B56" s="39"/>
      <c r="C56" s="45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</row>
    <row r="57" spans="1:18" x14ac:dyDescent="0.15">
      <c r="A57" s="36" t="s">
        <v>60</v>
      </c>
      <c r="B57" s="39"/>
      <c r="C57" s="45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</row>
    <row r="58" spans="1:18" x14ac:dyDescent="0.15">
      <c r="A58" s="36" t="s">
        <v>61</v>
      </c>
      <c r="B58" s="39"/>
      <c r="C58" s="45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</row>
    <row r="59" spans="1:18" x14ac:dyDescent="0.15">
      <c r="A59" s="36" t="s">
        <v>62</v>
      </c>
      <c r="B59" s="39"/>
      <c r="C59" s="45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</row>
    <row r="60" spans="1:18" x14ac:dyDescent="0.15">
      <c r="A60" s="36" t="s">
        <v>63</v>
      </c>
      <c r="B60" s="39"/>
      <c r="C60" s="45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</row>
    <row r="61" spans="1:18" x14ac:dyDescent="0.15">
      <c r="A61" s="36" t="s">
        <v>64</v>
      </c>
      <c r="B61" s="39"/>
      <c r="C61" s="45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</row>
    <row r="62" spans="1:18" x14ac:dyDescent="0.15">
      <c r="A62" s="36" t="s">
        <v>65</v>
      </c>
      <c r="B62" s="39"/>
      <c r="C62" s="45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</row>
    <row r="63" spans="1:18" x14ac:dyDescent="0.15">
      <c r="A63" s="36" t="s">
        <v>66</v>
      </c>
      <c r="B63" s="39"/>
      <c r="C63" s="45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</row>
    <row r="64" spans="1:18" x14ac:dyDescent="0.15">
      <c r="A64" s="36" t="s">
        <v>67</v>
      </c>
      <c r="B64" s="39"/>
      <c r="C64" s="45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</row>
    <row r="65" spans="1:18" x14ac:dyDescent="0.15">
      <c r="A65" s="36" t="s">
        <v>68</v>
      </c>
      <c r="B65" s="39"/>
      <c r="C65" s="45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</row>
    <row r="66" spans="1:18" x14ac:dyDescent="0.15">
      <c r="A66" s="36" t="s">
        <v>69</v>
      </c>
      <c r="B66" s="39"/>
      <c r="C66" s="45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</row>
    <row r="67" spans="1:18" x14ac:dyDescent="0.15">
      <c r="A67" s="36" t="s">
        <v>70</v>
      </c>
      <c r="B67" s="39"/>
      <c r="C67" s="45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</row>
    <row r="68" spans="1:18" x14ac:dyDescent="0.15">
      <c r="A68" s="36" t="s">
        <v>71</v>
      </c>
      <c r="B68" s="39"/>
      <c r="C68" s="45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</row>
    <row r="69" spans="1:18" x14ac:dyDescent="0.15">
      <c r="A69" s="36" t="s">
        <v>72</v>
      </c>
      <c r="B69" s="39"/>
      <c r="C69" s="45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</row>
    <row r="70" spans="1:18" x14ac:dyDescent="0.15">
      <c r="A70" s="36" t="s">
        <v>73</v>
      </c>
      <c r="B70" s="39"/>
      <c r="C70" s="45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</row>
    <row r="71" spans="1:18" x14ac:dyDescent="0.15">
      <c r="A71" s="36" t="s">
        <v>74</v>
      </c>
      <c r="B71" s="39"/>
      <c r="C71" s="45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</row>
    <row r="72" spans="1:18" x14ac:dyDescent="0.15">
      <c r="A72" s="36" t="s">
        <v>75</v>
      </c>
      <c r="B72" s="39"/>
      <c r="C72" s="45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</row>
    <row r="73" spans="1:18" x14ac:dyDescent="0.15">
      <c r="A73" s="36" t="s">
        <v>76</v>
      </c>
      <c r="B73" s="39"/>
      <c r="C73" s="45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</row>
    <row r="74" spans="1:18" x14ac:dyDescent="0.15">
      <c r="A74" s="36" t="s">
        <v>77</v>
      </c>
      <c r="B74" s="39"/>
      <c r="C74" s="45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</row>
    <row r="75" spans="1:18" x14ac:dyDescent="0.15">
      <c r="A75" s="36" t="s">
        <v>78</v>
      </c>
      <c r="B75" s="39"/>
      <c r="C75" s="45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</row>
    <row r="76" spans="1:18" x14ac:dyDescent="0.15">
      <c r="A76" s="36" t="s">
        <v>79</v>
      </c>
      <c r="B76" s="39"/>
      <c r="C76" s="45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</row>
    <row r="77" spans="1:18" x14ac:dyDescent="0.15">
      <c r="A77" s="36" t="s">
        <v>80</v>
      </c>
      <c r="B77" s="39"/>
      <c r="C77" s="45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</row>
    <row r="78" spans="1:18" x14ac:dyDescent="0.15">
      <c r="A78" s="36" t="s">
        <v>81</v>
      </c>
      <c r="B78" s="39"/>
      <c r="C78" s="45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</row>
    <row r="79" spans="1:18" x14ac:dyDescent="0.15">
      <c r="A79" s="36" t="s">
        <v>82</v>
      </c>
      <c r="B79" s="39"/>
      <c r="C79" s="45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</row>
    <row r="80" spans="1:18" x14ac:dyDescent="0.15">
      <c r="A80" s="36" t="s">
        <v>83</v>
      </c>
      <c r="B80" s="39"/>
      <c r="C80" s="45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</row>
    <row r="81" spans="1:18" x14ac:dyDescent="0.15">
      <c r="A81" s="36" t="s">
        <v>84</v>
      </c>
      <c r="B81" s="39"/>
      <c r="C81" s="45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</row>
    <row r="82" spans="1:18" x14ac:dyDescent="0.15">
      <c r="A82" s="36" t="s">
        <v>85</v>
      </c>
      <c r="B82" s="39"/>
      <c r="C82" s="45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</row>
    <row r="83" spans="1:18" x14ac:dyDescent="0.15">
      <c r="A83" s="36" t="s">
        <v>86</v>
      </c>
      <c r="B83" s="39"/>
      <c r="C83" s="45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</row>
    <row r="84" spans="1:18" x14ac:dyDescent="0.15">
      <c r="A84" s="36" t="s">
        <v>87</v>
      </c>
      <c r="B84" s="39"/>
      <c r="C84" s="45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</row>
    <row r="85" spans="1:18" x14ac:dyDescent="0.15">
      <c r="A85" s="36" t="s">
        <v>88</v>
      </c>
      <c r="B85" s="39"/>
      <c r="C85" s="45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</row>
    <row r="86" spans="1:18" x14ac:dyDescent="0.15">
      <c r="A86" s="36" t="s">
        <v>89</v>
      </c>
      <c r="B86" s="39"/>
      <c r="C86" s="45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</row>
    <row r="87" spans="1:18" x14ac:dyDescent="0.15">
      <c r="A87" s="36" t="s">
        <v>90</v>
      </c>
      <c r="B87" s="39"/>
      <c r="C87" s="45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</row>
    <row r="88" spans="1:18" x14ac:dyDescent="0.15">
      <c r="A88" s="36" t="s">
        <v>91</v>
      </c>
      <c r="B88" s="39"/>
      <c r="C88" s="45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</row>
    <row r="89" spans="1:18" x14ac:dyDescent="0.15">
      <c r="A89" s="36" t="s">
        <v>92</v>
      </c>
      <c r="B89" s="39"/>
      <c r="C89" s="45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</row>
    <row r="90" spans="1:18" x14ac:dyDescent="0.15">
      <c r="A90" s="36" t="s">
        <v>93</v>
      </c>
      <c r="B90" s="39"/>
      <c r="C90" s="45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</row>
    <row r="91" spans="1:18" x14ac:dyDescent="0.15">
      <c r="A91" s="36" t="s">
        <v>94</v>
      </c>
      <c r="B91" s="39"/>
      <c r="C91" s="45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</row>
    <row r="92" spans="1:18" x14ac:dyDescent="0.15">
      <c r="A92" s="36" t="s">
        <v>95</v>
      </c>
      <c r="B92" s="39"/>
      <c r="C92" s="45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</row>
    <row r="93" spans="1:18" x14ac:dyDescent="0.15">
      <c r="A93" s="36" t="s">
        <v>96</v>
      </c>
      <c r="B93" s="39"/>
      <c r="C93" s="45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</row>
    <row r="94" spans="1:18" x14ac:dyDescent="0.15">
      <c r="A94" s="36" t="s">
        <v>97</v>
      </c>
      <c r="B94" s="39"/>
      <c r="C94" s="45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</row>
    <row r="95" spans="1:18" x14ac:dyDescent="0.15">
      <c r="A95" s="36" t="s">
        <v>98</v>
      </c>
      <c r="B95" s="39"/>
      <c r="C95" s="45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</row>
    <row r="96" spans="1:18" x14ac:dyDescent="0.15">
      <c r="A96" s="36" t="s">
        <v>99</v>
      </c>
      <c r="B96" s="39"/>
      <c r="C96" s="45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</row>
    <row r="97" spans="1:18" x14ac:dyDescent="0.15">
      <c r="A97" s="36" t="s">
        <v>100</v>
      </c>
      <c r="B97" s="39"/>
      <c r="C97" s="45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</row>
    <row r="98" spans="1:18" x14ac:dyDescent="0.15">
      <c r="A98" s="36" t="s">
        <v>101</v>
      </c>
      <c r="B98" s="39"/>
      <c r="C98" s="45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</row>
    <row r="99" spans="1:18" x14ac:dyDescent="0.15">
      <c r="A99" s="36" t="s">
        <v>102</v>
      </c>
      <c r="B99" s="39"/>
      <c r="C99" s="45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</row>
    <row r="100" spans="1:18" x14ac:dyDescent="0.15">
      <c r="A100" s="36" t="s">
        <v>103</v>
      </c>
      <c r="B100" s="39"/>
      <c r="C100" s="45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</row>
    <row r="101" spans="1:18" x14ac:dyDescent="0.15">
      <c r="A101" s="36" t="s">
        <v>104</v>
      </c>
      <c r="B101" s="39"/>
      <c r="C101" s="45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</row>
    <row r="102" spans="1:18" x14ac:dyDescent="0.15">
      <c r="A102" s="36" t="s">
        <v>105</v>
      </c>
      <c r="B102" s="39"/>
      <c r="C102" s="45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</row>
    <row r="103" spans="1:18" x14ac:dyDescent="0.15">
      <c r="A103" s="36" t="s">
        <v>106</v>
      </c>
      <c r="B103" s="39"/>
      <c r="C103" s="45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</row>
    <row r="104" spans="1:18" x14ac:dyDescent="0.15">
      <c r="A104" s="36" t="s">
        <v>107</v>
      </c>
      <c r="B104" s="39"/>
      <c r="C104" s="45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</row>
    <row r="105" spans="1:18" x14ac:dyDescent="0.15">
      <c r="A105" s="36" t="s">
        <v>108</v>
      </c>
      <c r="B105" s="39"/>
      <c r="C105" s="45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</row>
    <row r="106" spans="1:18" x14ac:dyDescent="0.15">
      <c r="A106" s="46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V33" sqref="V33"/>
    </sheetView>
  </sheetViews>
  <sheetFormatPr defaultRowHeight="19.2" customHeight="1" x14ac:dyDescent="0.45"/>
  <cols>
    <col min="1" max="1" width="12.3984375" style="19" bestFit="1" customWidth="1"/>
    <col min="2" max="2" width="10.8984375" style="19" bestFit="1" customWidth="1"/>
    <col min="3" max="33" width="3.59765625" style="19" customWidth="1"/>
    <col min="34" max="34" width="13.3984375" style="19" bestFit="1" customWidth="1"/>
    <col min="35" max="35" width="13" style="19" bestFit="1" customWidth="1"/>
    <col min="36" max="36" width="11.59765625" style="19" bestFit="1" customWidth="1"/>
    <col min="38" max="38" width="3.59765625" style="19" customWidth="1"/>
  </cols>
  <sheetData>
    <row r="1" spans="1:38" ht="19.2" customHeight="1" thickBot="1" x14ac:dyDescent="0.5">
      <c r="A1" s="3">
        <v>46082</v>
      </c>
      <c r="AB1" s="4" t="s">
        <v>115</v>
      </c>
    </row>
    <row r="2" spans="1:38" ht="19.2" customHeight="1" thickBot="1" x14ac:dyDescent="0.5">
      <c r="A2" s="5">
        <f>YEAR(A1)</f>
        <v>2026</v>
      </c>
      <c r="B2" s="6">
        <f>MONTH(A1)</f>
        <v>3</v>
      </c>
      <c r="D2" s="7" t="s">
        <v>116</v>
      </c>
      <c r="J2" s="4" t="s">
        <v>117</v>
      </c>
      <c r="K2" s="4" t="s">
        <v>118</v>
      </c>
      <c r="L2" s="2"/>
      <c r="N2" s="4" t="s">
        <v>119</v>
      </c>
      <c r="O2" s="4"/>
      <c r="P2" s="4" t="s">
        <v>120</v>
      </c>
      <c r="Q2" s="4"/>
      <c r="S2" s="4" t="s">
        <v>121</v>
      </c>
      <c r="T2" t="s">
        <v>122</v>
      </c>
      <c r="V2" s="8" t="s">
        <v>123</v>
      </c>
      <c r="W2" s="9"/>
      <c r="X2" s="10" t="s">
        <v>124</v>
      </c>
      <c r="Y2" s="9"/>
      <c r="Z2" s="11"/>
      <c r="AB2" s="4" t="s">
        <v>125</v>
      </c>
      <c r="AI2" s="1" t="s">
        <v>126</v>
      </c>
    </row>
    <row r="3" spans="1:38" ht="9.75" customHeight="1" x14ac:dyDescent="0.45">
      <c r="AI3" s="1"/>
    </row>
    <row r="4" spans="1:38" ht="19.2" customHeight="1" x14ac:dyDescent="0.45">
      <c r="A4" s="12"/>
      <c r="B4" s="12"/>
      <c r="C4" s="32">
        <f>DATEVALUE(A2&amp;"/"&amp;B2&amp;"/1")</f>
        <v>46082</v>
      </c>
      <c r="D4" s="50">
        <f t="shared" ref="D4:AD4" si="0">C4+1</f>
        <v>46083</v>
      </c>
      <c r="E4" s="25">
        <f t="shared" si="0"/>
        <v>46084</v>
      </c>
      <c r="F4" s="25">
        <f t="shared" si="0"/>
        <v>46085</v>
      </c>
      <c r="G4" s="25">
        <f t="shared" si="0"/>
        <v>46086</v>
      </c>
      <c r="H4" s="25">
        <f t="shared" si="0"/>
        <v>46087</v>
      </c>
      <c r="I4" s="32">
        <f t="shared" si="0"/>
        <v>46088</v>
      </c>
      <c r="J4" s="32">
        <f t="shared" si="0"/>
        <v>46089</v>
      </c>
      <c r="K4" s="25">
        <f t="shared" si="0"/>
        <v>46090</v>
      </c>
      <c r="L4" s="25">
        <f t="shared" si="0"/>
        <v>46091</v>
      </c>
      <c r="M4" s="25">
        <f t="shared" si="0"/>
        <v>46092</v>
      </c>
      <c r="N4" s="50">
        <f t="shared" si="0"/>
        <v>46093</v>
      </c>
      <c r="O4" s="25">
        <f t="shared" si="0"/>
        <v>46094</v>
      </c>
      <c r="P4" s="32">
        <f t="shared" si="0"/>
        <v>46095</v>
      </c>
      <c r="Q4" s="32">
        <f t="shared" si="0"/>
        <v>46096</v>
      </c>
      <c r="R4" s="25">
        <f t="shared" si="0"/>
        <v>46097</v>
      </c>
      <c r="S4" s="25">
        <f t="shared" si="0"/>
        <v>46098</v>
      </c>
      <c r="T4" s="25">
        <f t="shared" si="0"/>
        <v>46099</v>
      </c>
      <c r="U4" s="25">
        <f t="shared" si="0"/>
        <v>46100</v>
      </c>
      <c r="V4" s="25">
        <f t="shared" si="0"/>
        <v>46101</v>
      </c>
      <c r="W4" s="32">
        <f t="shared" si="0"/>
        <v>46102</v>
      </c>
      <c r="X4" s="32">
        <f t="shared" si="0"/>
        <v>46103</v>
      </c>
      <c r="Y4" s="50">
        <f t="shared" si="0"/>
        <v>46104</v>
      </c>
      <c r="Z4" s="25">
        <f t="shared" si="0"/>
        <v>46105</v>
      </c>
      <c r="AA4" s="25">
        <f t="shared" si="0"/>
        <v>46106</v>
      </c>
      <c r="AB4" s="25">
        <f t="shared" si="0"/>
        <v>46107</v>
      </c>
      <c r="AC4" s="25">
        <f t="shared" si="0"/>
        <v>46108</v>
      </c>
      <c r="AD4" s="26">
        <f t="shared" si="0"/>
        <v>46109</v>
      </c>
      <c r="AE4" s="26">
        <f t="shared" ref="AE4" si="1">AD4+1</f>
        <v>46110</v>
      </c>
      <c r="AF4" s="25">
        <f t="shared" ref="AF4:AF5" si="2">AE4+1</f>
        <v>46111</v>
      </c>
      <c r="AG4" s="25">
        <f t="shared" ref="AG4:AG5" si="3">AF4+1</f>
        <v>46112</v>
      </c>
      <c r="AH4" s="13"/>
      <c r="AI4" s="14">
        <v>20</v>
      </c>
      <c r="AL4" s="13"/>
    </row>
    <row r="5" spans="1:38" ht="19.2" customHeight="1" x14ac:dyDescent="0.45">
      <c r="A5" s="12"/>
      <c r="B5" s="51" t="s">
        <v>127</v>
      </c>
      <c r="C5" s="33">
        <f>C4</f>
        <v>46082</v>
      </c>
      <c r="D5" s="52">
        <f t="shared" ref="D5:AE5" si="4">C5+1</f>
        <v>46083</v>
      </c>
      <c r="E5" s="27">
        <f t="shared" si="4"/>
        <v>46084</v>
      </c>
      <c r="F5" s="27">
        <f t="shared" si="4"/>
        <v>46085</v>
      </c>
      <c r="G5" s="27">
        <f t="shared" si="4"/>
        <v>46086</v>
      </c>
      <c r="H5" s="27">
        <f t="shared" si="4"/>
        <v>46087</v>
      </c>
      <c r="I5" s="33">
        <f t="shared" si="4"/>
        <v>46088</v>
      </c>
      <c r="J5" s="33">
        <f t="shared" si="4"/>
        <v>46089</v>
      </c>
      <c r="K5" s="27">
        <f t="shared" si="4"/>
        <v>46090</v>
      </c>
      <c r="L5" s="27">
        <f t="shared" si="4"/>
        <v>46091</v>
      </c>
      <c r="M5" s="27">
        <f t="shared" si="4"/>
        <v>46092</v>
      </c>
      <c r="N5" s="52">
        <f t="shared" si="4"/>
        <v>46093</v>
      </c>
      <c r="O5" s="27">
        <f t="shared" si="4"/>
        <v>46094</v>
      </c>
      <c r="P5" s="33">
        <f t="shared" si="4"/>
        <v>46095</v>
      </c>
      <c r="Q5" s="33">
        <f t="shared" si="4"/>
        <v>46096</v>
      </c>
      <c r="R5" s="27">
        <f t="shared" si="4"/>
        <v>46097</v>
      </c>
      <c r="S5" s="27">
        <f t="shared" si="4"/>
        <v>46098</v>
      </c>
      <c r="T5" s="27">
        <f t="shared" si="4"/>
        <v>46099</v>
      </c>
      <c r="U5" s="27">
        <f t="shared" si="4"/>
        <v>46100</v>
      </c>
      <c r="V5" s="27">
        <f t="shared" si="4"/>
        <v>46101</v>
      </c>
      <c r="W5" s="33">
        <f t="shared" si="4"/>
        <v>46102</v>
      </c>
      <c r="X5" s="33">
        <f t="shared" si="4"/>
        <v>46103</v>
      </c>
      <c r="Y5" s="52">
        <f t="shared" si="4"/>
        <v>46104</v>
      </c>
      <c r="Z5" s="27">
        <f t="shared" si="4"/>
        <v>46105</v>
      </c>
      <c r="AA5" s="27">
        <f t="shared" si="4"/>
        <v>46106</v>
      </c>
      <c r="AB5" s="27">
        <f t="shared" si="4"/>
        <v>46107</v>
      </c>
      <c r="AC5" s="27">
        <f t="shared" si="4"/>
        <v>46108</v>
      </c>
      <c r="AD5" s="28">
        <f>AC5+1</f>
        <v>46109</v>
      </c>
      <c r="AE5" s="33">
        <f t="shared" si="4"/>
        <v>46110</v>
      </c>
      <c r="AF5" s="27">
        <f t="shared" si="2"/>
        <v>46111</v>
      </c>
      <c r="AG5" s="27">
        <f t="shared" si="3"/>
        <v>46112</v>
      </c>
      <c r="AH5" s="15"/>
      <c r="AI5" s="16" t="s">
        <v>128</v>
      </c>
      <c r="AJ5" s="1" t="s">
        <v>129</v>
      </c>
      <c r="AK5" s="1" t="s">
        <v>130</v>
      </c>
      <c r="AL5" s="15"/>
    </row>
    <row r="6" spans="1:38" ht="19.2" customHeight="1" x14ac:dyDescent="0.45">
      <c r="A6" s="12" t="s">
        <v>131</v>
      </c>
      <c r="B6" s="51"/>
      <c r="C6" s="34"/>
      <c r="D6" s="51"/>
      <c r="E6" s="29"/>
      <c r="F6" s="29"/>
      <c r="G6" s="29"/>
      <c r="H6" s="29"/>
      <c r="I6" s="34"/>
      <c r="J6" s="34"/>
      <c r="K6" s="29"/>
      <c r="L6" s="29"/>
      <c r="M6" s="29"/>
      <c r="N6" s="51"/>
      <c r="O6" s="30" t="s">
        <v>117</v>
      </c>
      <c r="P6" s="34"/>
      <c r="Q6" s="34"/>
      <c r="R6" s="30" t="s">
        <v>117</v>
      </c>
      <c r="S6" s="29"/>
      <c r="T6" s="29"/>
      <c r="U6" s="29"/>
      <c r="V6" s="29"/>
      <c r="W6" s="34"/>
      <c r="X6" s="34"/>
      <c r="Y6" s="51"/>
      <c r="Z6" s="29"/>
      <c r="AA6" s="29"/>
      <c r="AB6" s="29"/>
      <c r="AC6" s="29"/>
      <c r="AD6" s="31"/>
      <c r="AE6" s="34"/>
      <c r="AF6" s="51"/>
      <c r="AG6" s="51"/>
      <c r="AH6" s="12" t="s">
        <v>131</v>
      </c>
      <c r="AI6" s="1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1">
        <v>0</v>
      </c>
      <c r="AK6" s="1"/>
    </row>
    <row r="7" spans="1:38" ht="19.2" customHeight="1" x14ac:dyDescent="0.45">
      <c r="A7" s="12"/>
      <c r="B7" s="51"/>
      <c r="C7" s="34"/>
      <c r="D7" s="51"/>
      <c r="E7" s="29"/>
      <c r="F7" s="29"/>
      <c r="G7" s="29"/>
      <c r="H7" s="29"/>
      <c r="I7" s="34"/>
      <c r="J7" s="34"/>
      <c r="K7" s="29"/>
      <c r="L7" s="29"/>
      <c r="M7" s="29"/>
      <c r="N7" s="51"/>
      <c r="O7" s="29"/>
      <c r="P7" s="34"/>
      <c r="Q7" s="34"/>
      <c r="R7" s="29"/>
      <c r="S7" s="29"/>
      <c r="T7" s="29"/>
      <c r="U7" s="29"/>
      <c r="V7" s="29"/>
      <c r="W7" s="34"/>
      <c r="X7" s="34"/>
      <c r="Y7" s="51"/>
      <c r="Z7" s="29"/>
      <c r="AA7" s="29"/>
      <c r="AB7" s="29"/>
      <c r="AC7" s="29"/>
      <c r="AD7" s="31"/>
      <c r="AE7" s="34"/>
      <c r="AF7" s="51"/>
      <c r="AG7" s="51"/>
      <c r="AH7" s="12"/>
      <c r="AI7" s="17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1"/>
      <c r="AK7" s="1"/>
    </row>
    <row r="8" spans="1:38" ht="19.2" customHeight="1" x14ac:dyDescent="0.45">
      <c r="A8" s="12" t="s">
        <v>132</v>
      </c>
      <c r="B8" s="51"/>
      <c r="C8" s="34"/>
      <c r="D8" s="51"/>
      <c r="E8" s="29"/>
      <c r="F8" s="29"/>
      <c r="G8" s="29"/>
      <c r="H8" s="29"/>
      <c r="I8" s="34"/>
      <c r="J8" s="34"/>
      <c r="K8" s="29"/>
      <c r="L8" s="29"/>
      <c r="M8" s="29"/>
      <c r="N8" s="51"/>
      <c r="O8" s="29"/>
      <c r="P8" s="34"/>
      <c r="Q8" s="34"/>
      <c r="R8" s="29"/>
      <c r="S8" s="29"/>
      <c r="T8" s="29"/>
      <c r="U8" s="29"/>
      <c r="V8" s="30" t="s">
        <v>117</v>
      </c>
      <c r="W8" s="34"/>
      <c r="X8" s="34"/>
      <c r="Y8" s="51"/>
      <c r="Z8" s="29"/>
      <c r="AA8" s="29"/>
      <c r="AB8" s="29"/>
      <c r="AC8" s="29"/>
      <c r="AD8" s="31"/>
      <c r="AE8" s="34"/>
      <c r="AF8" s="51"/>
      <c r="AG8" s="51"/>
      <c r="AH8" s="12" t="s">
        <v>133</v>
      </c>
      <c r="AI8" s="17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8" s="1">
        <v>0</v>
      </c>
      <c r="AK8" s="17">
        <v>7.25</v>
      </c>
    </row>
    <row r="9" spans="1:38" ht="19.2" customHeight="1" x14ac:dyDescent="0.45">
      <c r="A9" s="12" t="s">
        <v>134</v>
      </c>
      <c r="B9" s="51"/>
      <c r="C9" s="34"/>
      <c r="D9" s="30" t="s">
        <v>135</v>
      </c>
      <c r="E9" s="30" t="s">
        <v>135</v>
      </c>
      <c r="F9" s="30" t="s">
        <v>135</v>
      </c>
      <c r="G9" s="30" t="s">
        <v>135</v>
      </c>
      <c r="H9" s="30" t="s">
        <v>135</v>
      </c>
      <c r="I9" s="34"/>
      <c r="J9" s="34"/>
      <c r="K9" s="29"/>
      <c r="L9" s="29"/>
      <c r="M9" s="29"/>
      <c r="N9" s="51"/>
      <c r="O9" s="29"/>
      <c r="P9" s="34"/>
      <c r="Q9" s="34"/>
      <c r="R9" s="29"/>
      <c r="S9" s="29"/>
      <c r="T9" s="29"/>
      <c r="U9" s="29"/>
      <c r="V9" s="30" t="s">
        <v>117</v>
      </c>
      <c r="W9" s="34"/>
      <c r="X9" s="34"/>
      <c r="Y9" s="51"/>
      <c r="Z9" s="29"/>
      <c r="AA9" s="29"/>
      <c r="AB9" s="30" t="s">
        <v>136</v>
      </c>
      <c r="AC9" s="29"/>
      <c r="AD9" s="31"/>
      <c r="AE9" s="34"/>
      <c r="AF9" s="51"/>
      <c r="AG9" s="51"/>
      <c r="AH9" s="12" t="s">
        <v>137</v>
      </c>
      <c r="AI9" s="17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100.15</v>
      </c>
      <c r="AJ9" s="1">
        <v>0</v>
      </c>
      <c r="AK9" s="17">
        <v>0.25</v>
      </c>
    </row>
    <row r="10" spans="1:38" ht="19.2" customHeight="1" x14ac:dyDescent="0.45">
      <c r="A10" s="12"/>
      <c r="B10" s="51"/>
      <c r="C10" s="34"/>
      <c r="D10" s="51"/>
      <c r="E10" s="29"/>
      <c r="F10" s="29"/>
      <c r="G10" s="29"/>
      <c r="H10" s="29"/>
      <c r="I10" s="34"/>
      <c r="J10" s="34"/>
      <c r="K10" s="29"/>
      <c r="L10" s="29"/>
      <c r="M10" s="29"/>
      <c r="N10" s="51"/>
      <c r="O10" s="29"/>
      <c r="P10" s="34"/>
      <c r="Q10" s="34"/>
      <c r="R10" s="29"/>
      <c r="S10" s="29"/>
      <c r="T10" s="29"/>
      <c r="U10" s="29"/>
      <c r="V10" s="29"/>
      <c r="W10" s="34"/>
      <c r="X10" s="34"/>
      <c r="Y10" s="51"/>
      <c r="Z10" s="29"/>
      <c r="AA10" s="29"/>
      <c r="AB10" s="29"/>
      <c r="AC10" s="29"/>
      <c r="AD10" s="31"/>
      <c r="AE10" s="34"/>
      <c r="AF10" s="51"/>
      <c r="AG10" s="51"/>
      <c r="AH10" s="12"/>
      <c r="AI10" s="17"/>
      <c r="AJ10" s="1"/>
      <c r="AK10" s="17"/>
    </row>
    <row r="11" spans="1:38" ht="19.2" customHeight="1" x14ac:dyDescent="0.45">
      <c r="A11" s="12" t="s">
        <v>110</v>
      </c>
      <c r="B11" s="51" t="s">
        <v>138</v>
      </c>
      <c r="C11" s="34"/>
      <c r="D11" s="51"/>
      <c r="E11" s="29"/>
      <c r="F11" s="30" t="s">
        <v>117</v>
      </c>
      <c r="G11" s="29"/>
      <c r="H11" s="29"/>
      <c r="I11" s="34"/>
      <c r="J11" s="34"/>
      <c r="K11" s="29"/>
      <c r="L11" s="29"/>
      <c r="M11" s="29"/>
      <c r="N11" s="51"/>
      <c r="O11" s="29"/>
      <c r="P11" s="34"/>
      <c r="Q11" s="34"/>
      <c r="R11" s="29"/>
      <c r="S11" s="29"/>
      <c r="T11" s="29"/>
      <c r="U11" s="29"/>
      <c r="V11" s="29"/>
      <c r="W11" s="34"/>
      <c r="X11" s="34"/>
      <c r="Y11" s="51"/>
      <c r="Z11" s="29"/>
      <c r="AA11" s="29"/>
      <c r="AB11" s="29"/>
      <c r="AC11" s="29"/>
      <c r="AD11" s="31"/>
      <c r="AE11" s="34"/>
      <c r="AF11" s="51"/>
      <c r="AG11" s="51"/>
      <c r="AH11" s="12" t="s">
        <v>139</v>
      </c>
      <c r="AI11" s="17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1">
        <v>1</v>
      </c>
      <c r="AK11" s="17">
        <v>5.75</v>
      </c>
    </row>
    <row r="12" spans="1:38" ht="19.2" customHeight="1" x14ac:dyDescent="0.45">
      <c r="A12" s="12" t="s">
        <v>109</v>
      </c>
      <c r="B12" s="51" t="s">
        <v>138</v>
      </c>
      <c r="C12" s="34"/>
      <c r="D12" s="51"/>
      <c r="E12" s="29"/>
      <c r="F12" s="29"/>
      <c r="G12" s="30" t="s">
        <v>136</v>
      </c>
      <c r="H12" s="29"/>
      <c r="I12" s="34"/>
      <c r="J12" s="34"/>
      <c r="K12" s="30" t="s">
        <v>136</v>
      </c>
      <c r="L12" s="29"/>
      <c r="M12" s="29"/>
      <c r="N12" s="51"/>
      <c r="O12" s="29"/>
      <c r="P12" s="34"/>
      <c r="Q12" s="34"/>
      <c r="R12" s="29"/>
      <c r="S12" s="30" t="s">
        <v>136</v>
      </c>
      <c r="T12" s="29"/>
      <c r="U12" s="29"/>
      <c r="V12" s="29"/>
      <c r="W12" s="34"/>
      <c r="X12" s="34"/>
      <c r="Y12" s="51"/>
      <c r="Z12" s="29"/>
      <c r="AA12" s="29"/>
      <c r="AB12" s="29"/>
      <c r="AC12" s="29"/>
      <c r="AD12" s="31"/>
      <c r="AE12" s="34"/>
      <c r="AF12" s="51"/>
      <c r="AG12" s="51"/>
      <c r="AH12" s="12" t="s">
        <v>109</v>
      </c>
      <c r="AI12" s="17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136.55000000000001</v>
      </c>
      <c r="AJ12" s="1">
        <v>1</v>
      </c>
      <c r="AK12" s="17">
        <v>10.25</v>
      </c>
    </row>
    <row r="13" spans="1:38" ht="19.2" customHeight="1" x14ac:dyDescent="0.45">
      <c r="A13" s="12" t="s">
        <v>111</v>
      </c>
      <c r="B13" s="51" t="s">
        <v>138</v>
      </c>
      <c r="C13" s="34"/>
      <c r="D13" s="51"/>
      <c r="E13" s="29"/>
      <c r="F13" s="29"/>
      <c r="G13" s="29"/>
      <c r="H13" s="29"/>
      <c r="I13" s="34"/>
      <c r="J13" s="34"/>
      <c r="K13" s="29"/>
      <c r="L13" s="29"/>
      <c r="M13" s="29"/>
      <c r="N13" s="30" t="s">
        <v>117</v>
      </c>
      <c r="O13" s="29"/>
      <c r="P13" s="34"/>
      <c r="Q13" s="34"/>
      <c r="R13" s="29"/>
      <c r="S13" s="29"/>
      <c r="T13" s="30" t="s">
        <v>140</v>
      </c>
      <c r="U13" s="29"/>
      <c r="V13" s="29"/>
      <c r="W13" s="34"/>
      <c r="X13" s="34"/>
      <c r="Y13" s="51"/>
      <c r="Z13" s="29"/>
      <c r="AA13" s="29"/>
      <c r="AB13" s="29"/>
      <c r="AC13" s="29"/>
      <c r="AD13" s="31"/>
      <c r="AE13" s="34"/>
      <c r="AF13" s="51"/>
      <c r="AG13" s="51"/>
      <c r="AH13" s="12" t="s">
        <v>111</v>
      </c>
      <c r="AI13" s="17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138.04999999999998</v>
      </c>
      <c r="AJ13" s="1">
        <v>1</v>
      </c>
      <c r="AK13" s="17">
        <v>1</v>
      </c>
    </row>
    <row r="14" spans="1:38" ht="19.2" customHeight="1" x14ac:dyDescent="0.45">
      <c r="A14" s="12"/>
      <c r="B14" s="51"/>
      <c r="C14" s="34"/>
      <c r="D14" s="51"/>
      <c r="E14" s="29"/>
      <c r="F14" s="29"/>
      <c r="G14" s="29"/>
      <c r="H14" s="29"/>
      <c r="I14" s="34"/>
      <c r="J14" s="34"/>
      <c r="K14" s="29"/>
      <c r="L14" s="29"/>
      <c r="M14" s="29"/>
      <c r="N14" s="51"/>
      <c r="O14" s="29"/>
      <c r="P14" s="34"/>
      <c r="Q14" s="34"/>
      <c r="R14" s="29"/>
      <c r="S14" s="29"/>
      <c r="T14" s="29"/>
      <c r="U14" s="29"/>
      <c r="V14" s="29"/>
      <c r="W14" s="34"/>
      <c r="X14" s="34"/>
      <c r="Y14" s="51"/>
      <c r="Z14" s="29"/>
      <c r="AA14" s="29"/>
      <c r="AB14" s="29"/>
      <c r="AC14" s="29"/>
      <c r="AD14" s="31"/>
      <c r="AE14" s="34"/>
      <c r="AF14" s="51"/>
      <c r="AG14" s="51"/>
      <c r="AH14" s="12"/>
      <c r="AI14" s="17"/>
      <c r="AJ14" s="1"/>
      <c r="AK14" s="17"/>
    </row>
    <row r="15" spans="1:38" ht="19.2" customHeight="1" x14ac:dyDescent="0.45">
      <c r="A15" s="12" t="s">
        <v>112</v>
      </c>
      <c r="B15" s="51" t="s">
        <v>138</v>
      </c>
      <c r="C15" s="34"/>
      <c r="D15" s="51"/>
      <c r="E15" s="29"/>
      <c r="F15" s="29"/>
      <c r="G15" s="29"/>
      <c r="H15" s="30" t="s">
        <v>117</v>
      </c>
      <c r="I15" s="34"/>
      <c r="J15" s="34"/>
      <c r="K15" s="29"/>
      <c r="L15" s="29"/>
      <c r="M15" s="29"/>
      <c r="N15" s="51"/>
      <c r="O15" s="29"/>
      <c r="P15" s="34"/>
      <c r="Q15" s="34"/>
      <c r="R15" s="29"/>
      <c r="S15" s="29"/>
      <c r="T15" s="29"/>
      <c r="U15" s="29"/>
      <c r="V15" s="29"/>
      <c r="W15" s="34"/>
      <c r="X15" s="34"/>
      <c r="Y15" s="51"/>
      <c r="Z15" s="29"/>
      <c r="AA15" s="29"/>
      <c r="AB15" s="29"/>
      <c r="AC15" s="29"/>
      <c r="AD15" s="31"/>
      <c r="AE15" s="34"/>
      <c r="AF15" s="51"/>
      <c r="AG15" s="51"/>
      <c r="AH15" s="12" t="s">
        <v>112</v>
      </c>
      <c r="AI15" s="17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1">
        <v>1</v>
      </c>
      <c r="AK15" s="17">
        <v>0</v>
      </c>
    </row>
    <row r="16" spans="1:38" ht="19.2" customHeight="1" x14ac:dyDescent="0.45">
      <c r="A16" s="12" t="s">
        <v>113</v>
      </c>
      <c r="B16" s="51" t="s">
        <v>138</v>
      </c>
      <c r="C16" s="34"/>
      <c r="D16" s="51"/>
      <c r="E16" s="29"/>
      <c r="F16" s="29"/>
      <c r="G16" s="29"/>
      <c r="H16" s="29"/>
      <c r="I16" s="34"/>
      <c r="J16" s="34"/>
      <c r="K16" s="29"/>
      <c r="L16" s="29"/>
      <c r="M16" s="30" t="s">
        <v>117</v>
      </c>
      <c r="N16" s="51"/>
      <c r="O16" s="29"/>
      <c r="P16" s="34"/>
      <c r="Q16" s="34"/>
      <c r="R16" s="29"/>
      <c r="S16" s="29"/>
      <c r="T16" s="29"/>
      <c r="U16" s="29"/>
      <c r="V16" s="29"/>
      <c r="W16" s="34"/>
      <c r="X16" s="34"/>
      <c r="Y16" s="51"/>
      <c r="Z16" s="29"/>
      <c r="AA16" s="29"/>
      <c r="AB16" s="29"/>
      <c r="AC16" s="29"/>
      <c r="AD16" s="31"/>
      <c r="AE16" s="34"/>
      <c r="AF16" s="51"/>
      <c r="AG16" s="51"/>
      <c r="AH16" s="12" t="s">
        <v>113</v>
      </c>
      <c r="AI16" s="17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16" s="1">
        <v>1</v>
      </c>
      <c r="AK16" s="17">
        <v>4.5</v>
      </c>
    </row>
    <row r="17" spans="1:37" ht="19.2" customHeight="1" x14ac:dyDescent="0.45">
      <c r="A17" s="12" t="s">
        <v>114</v>
      </c>
      <c r="B17" s="51" t="s">
        <v>138</v>
      </c>
      <c r="C17" s="34"/>
      <c r="D17" s="51"/>
      <c r="E17" s="29"/>
      <c r="F17" s="29"/>
      <c r="G17" s="29"/>
      <c r="H17" s="30" t="s">
        <v>117</v>
      </c>
      <c r="I17" s="34"/>
      <c r="J17" s="34"/>
      <c r="K17" s="30" t="s">
        <v>136</v>
      </c>
      <c r="L17" s="29"/>
      <c r="M17" s="29"/>
      <c r="N17" s="51"/>
      <c r="O17" s="29"/>
      <c r="P17" s="34"/>
      <c r="Q17" s="34"/>
      <c r="R17" s="30" t="s">
        <v>117</v>
      </c>
      <c r="S17" s="29"/>
      <c r="T17" s="29"/>
      <c r="U17" s="30" t="s">
        <v>117</v>
      </c>
      <c r="V17" s="29"/>
      <c r="W17" s="34"/>
      <c r="X17" s="34"/>
      <c r="Y17" s="51"/>
      <c r="Z17" s="29"/>
      <c r="AA17" s="29"/>
      <c r="AB17" s="29"/>
      <c r="AC17" s="29"/>
      <c r="AD17" s="31"/>
      <c r="AE17" s="34"/>
      <c r="AF17" s="51"/>
      <c r="AG17" s="51"/>
      <c r="AH17" s="12" t="s">
        <v>114</v>
      </c>
      <c r="AI17" s="17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122.50000000000001</v>
      </c>
      <c r="AJ17" s="1">
        <v>1</v>
      </c>
      <c r="AK17" s="17">
        <v>0</v>
      </c>
    </row>
    <row r="18" spans="1:37" ht="19.2" customHeight="1" x14ac:dyDescent="0.45">
      <c r="A18" s="12"/>
      <c r="B18" s="51"/>
      <c r="C18" s="34"/>
      <c r="D18" s="51"/>
      <c r="E18" s="29"/>
      <c r="F18" s="29"/>
      <c r="G18" s="29"/>
      <c r="H18" s="29"/>
      <c r="I18" s="34"/>
      <c r="J18" s="34"/>
      <c r="K18" s="29"/>
      <c r="L18" s="29"/>
      <c r="M18" s="29"/>
      <c r="N18" s="51"/>
      <c r="O18" s="29"/>
      <c r="P18" s="34"/>
      <c r="Q18" s="34"/>
      <c r="R18" s="29"/>
      <c r="S18" s="29"/>
      <c r="T18" s="29"/>
      <c r="U18" s="29"/>
      <c r="V18" s="29"/>
      <c r="W18" s="34"/>
      <c r="X18" s="34"/>
      <c r="Y18" s="51"/>
      <c r="Z18" s="29"/>
      <c r="AA18" s="29"/>
      <c r="AB18" s="29"/>
      <c r="AC18" s="29"/>
      <c r="AD18" s="31"/>
      <c r="AE18" s="34"/>
      <c r="AF18" s="51"/>
      <c r="AG18" s="51"/>
      <c r="AH18" s="12"/>
      <c r="AI18" s="17"/>
      <c r="AJ18" s="1"/>
      <c r="AK18" s="17"/>
    </row>
    <row r="19" spans="1:37" ht="19.2" customHeight="1" x14ac:dyDescent="0.45">
      <c r="A19" s="12" t="s">
        <v>141</v>
      </c>
      <c r="B19" s="51" t="s">
        <v>142</v>
      </c>
      <c r="C19" s="34"/>
      <c r="D19" s="51"/>
      <c r="E19" s="29"/>
      <c r="F19" s="29"/>
      <c r="G19" s="29"/>
      <c r="H19" s="29"/>
      <c r="I19" s="34"/>
      <c r="J19" s="34"/>
      <c r="K19" s="29"/>
      <c r="L19" s="30" t="s">
        <v>136</v>
      </c>
      <c r="M19" s="29"/>
      <c r="N19" s="51"/>
      <c r="O19" s="29"/>
      <c r="P19" s="34"/>
      <c r="Q19" s="34"/>
      <c r="R19" s="29"/>
      <c r="S19" s="29"/>
      <c r="T19" s="29"/>
      <c r="U19" s="29"/>
      <c r="V19" s="29"/>
      <c r="W19" s="34"/>
      <c r="X19" s="34"/>
      <c r="Y19" s="51"/>
      <c r="Z19" s="29"/>
      <c r="AA19" s="29"/>
      <c r="AB19" s="29"/>
      <c r="AC19" s="30" t="s">
        <v>117</v>
      </c>
      <c r="AD19" s="31"/>
      <c r="AE19" s="34"/>
      <c r="AF19" s="51"/>
      <c r="AG19" s="51"/>
      <c r="AH19" s="12" t="s">
        <v>141</v>
      </c>
      <c r="AI19" s="17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1">
        <v>2</v>
      </c>
      <c r="AK19" s="17">
        <v>7.25</v>
      </c>
    </row>
    <row r="20" spans="1:37" ht="19.2" customHeight="1" x14ac:dyDescent="0.45">
      <c r="A20" s="12" t="s">
        <v>143</v>
      </c>
      <c r="B20" s="51" t="s">
        <v>142</v>
      </c>
      <c r="C20" s="34"/>
      <c r="D20" s="51"/>
      <c r="E20" s="29"/>
      <c r="F20" s="29"/>
      <c r="G20" s="29"/>
      <c r="H20" s="29"/>
      <c r="I20" s="34"/>
      <c r="J20" s="34"/>
      <c r="K20" s="29"/>
      <c r="L20" s="29"/>
      <c r="M20" s="30" t="s">
        <v>117</v>
      </c>
      <c r="N20" s="51"/>
      <c r="O20" s="29"/>
      <c r="P20" s="34"/>
      <c r="Q20" s="34"/>
      <c r="R20" s="29"/>
      <c r="S20" s="29"/>
      <c r="T20" s="29"/>
      <c r="U20" s="29"/>
      <c r="V20" s="30" t="s">
        <v>117</v>
      </c>
      <c r="W20" s="34"/>
      <c r="X20" s="34"/>
      <c r="Y20" s="51"/>
      <c r="Z20" s="29"/>
      <c r="AA20" s="29"/>
      <c r="AB20" s="29"/>
      <c r="AC20" s="29"/>
      <c r="AD20" s="31"/>
      <c r="AE20" s="34"/>
      <c r="AF20" s="51"/>
      <c r="AG20" s="51"/>
      <c r="AH20" s="12" t="s">
        <v>143</v>
      </c>
      <c r="AI20" s="17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134.1</v>
      </c>
      <c r="AJ20" s="1">
        <v>2</v>
      </c>
      <c r="AK20" s="17">
        <v>17</v>
      </c>
    </row>
    <row r="21" spans="1:37" ht="19.2" customHeight="1" x14ac:dyDescent="0.45">
      <c r="A21" s="12" t="s">
        <v>144</v>
      </c>
      <c r="B21" s="51" t="s">
        <v>142</v>
      </c>
      <c r="C21" s="34"/>
      <c r="D21" s="51"/>
      <c r="E21" s="29"/>
      <c r="F21" s="29"/>
      <c r="G21" s="29"/>
      <c r="H21" s="29"/>
      <c r="I21" s="34"/>
      <c r="J21" s="34"/>
      <c r="K21" s="29"/>
      <c r="L21" s="29"/>
      <c r="M21" s="29"/>
      <c r="N21" s="51"/>
      <c r="O21" s="29"/>
      <c r="P21" s="34"/>
      <c r="Q21" s="34"/>
      <c r="R21" s="29"/>
      <c r="S21" s="29"/>
      <c r="T21" s="29"/>
      <c r="U21" s="29"/>
      <c r="V21" s="30" t="s">
        <v>117</v>
      </c>
      <c r="W21" s="34"/>
      <c r="X21" s="34"/>
      <c r="Y21" s="51"/>
      <c r="Z21" s="29"/>
      <c r="AA21" s="29"/>
      <c r="AB21" s="29"/>
      <c r="AC21" s="29"/>
      <c r="AD21" s="31"/>
      <c r="AE21" s="34"/>
      <c r="AF21" s="51"/>
      <c r="AG21" s="51"/>
      <c r="AH21" s="12" t="s">
        <v>145</v>
      </c>
      <c r="AI21" s="17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1" s="1">
        <v>2</v>
      </c>
      <c r="AK21" s="17">
        <v>3.5</v>
      </c>
    </row>
    <row r="22" spans="1:37" ht="19.2" customHeight="1" x14ac:dyDescent="0.45">
      <c r="A22" s="12" t="s">
        <v>146</v>
      </c>
      <c r="B22" s="51" t="s">
        <v>142</v>
      </c>
      <c r="C22" s="34"/>
      <c r="D22" s="51"/>
      <c r="E22" s="29"/>
      <c r="F22" s="29"/>
      <c r="G22" s="29"/>
      <c r="H22" s="29"/>
      <c r="I22" s="34"/>
      <c r="J22" s="34"/>
      <c r="K22" s="29"/>
      <c r="L22" s="29"/>
      <c r="M22" s="29"/>
      <c r="N22" s="51"/>
      <c r="O22" s="29"/>
      <c r="P22" s="34"/>
      <c r="Q22" s="34"/>
      <c r="R22" s="29"/>
      <c r="S22" s="29"/>
      <c r="T22" s="29"/>
      <c r="U22" s="29"/>
      <c r="V22" s="30" t="s">
        <v>117</v>
      </c>
      <c r="W22" s="34"/>
      <c r="X22" s="34"/>
      <c r="Y22" s="51"/>
      <c r="Z22" s="29"/>
      <c r="AA22" s="29"/>
      <c r="AB22" s="29"/>
      <c r="AC22" s="29"/>
      <c r="AD22" s="31"/>
      <c r="AE22" s="34"/>
      <c r="AF22" s="51"/>
      <c r="AG22" s="51"/>
      <c r="AH22" s="12" t="s">
        <v>146</v>
      </c>
      <c r="AI22" s="17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141.55000000000001</v>
      </c>
      <c r="AJ22" s="1">
        <v>2</v>
      </c>
      <c r="AK22" s="17">
        <v>4.25</v>
      </c>
    </row>
    <row r="23" spans="1:37" ht="19.2" customHeight="1" x14ac:dyDescent="0.45">
      <c r="A23" s="12" t="s">
        <v>147</v>
      </c>
      <c r="B23" s="51" t="s">
        <v>142</v>
      </c>
      <c r="C23" s="34"/>
      <c r="D23" s="51"/>
      <c r="E23" s="29"/>
      <c r="F23" s="29"/>
      <c r="G23" s="29"/>
      <c r="H23" s="29"/>
      <c r="I23" s="34"/>
      <c r="J23" s="34"/>
      <c r="K23" s="29"/>
      <c r="L23" s="29"/>
      <c r="M23" s="29"/>
      <c r="N23" s="51"/>
      <c r="O23" s="29"/>
      <c r="P23" s="34"/>
      <c r="Q23" s="34"/>
      <c r="R23" s="29"/>
      <c r="S23" s="29"/>
      <c r="T23" s="29"/>
      <c r="U23" s="29"/>
      <c r="V23" s="30" t="s">
        <v>117</v>
      </c>
      <c r="W23" s="34"/>
      <c r="X23" s="34"/>
      <c r="Y23" s="51"/>
      <c r="Z23" s="30" t="s">
        <v>136</v>
      </c>
      <c r="AA23" s="29"/>
      <c r="AB23" s="29"/>
      <c r="AC23" s="29"/>
      <c r="AD23" s="31"/>
      <c r="AE23" s="34"/>
      <c r="AF23" s="51"/>
      <c r="AG23" s="51"/>
      <c r="AH23" s="12" t="s">
        <v>147</v>
      </c>
      <c r="AI23" s="17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137.4</v>
      </c>
      <c r="AJ23" s="1">
        <v>2</v>
      </c>
      <c r="AK23" s="17">
        <v>3.5</v>
      </c>
    </row>
    <row r="24" spans="1:37" ht="19.2" customHeight="1" x14ac:dyDescent="0.45">
      <c r="A24" s="1"/>
      <c r="B24" s="1"/>
      <c r="C24" s="34"/>
      <c r="D24" s="51"/>
      <c r="E24" s="29"/>
      <c r="F24" s="29"/>
      <c r="G24" s="29"/>
      <c r="H24" s="29"/>
      <c r="I24" s="34"/>
      <c r="J24" s="34"/>
      <c r="K24" s="29"/>
      <c r="L24" s="29"/>
      <c r="M24" s="29"/>
      <c r="N24" s="51"/>
      <c r="O24" s="29"/>
      <c r="P24" s="34"/>
      <c r="Q24" s="34"/>
      <c r="R24" s="29"/>
      <c r="S24" s="29"/>
      <c r="T24" s="29"/>
      <c r="U24" s="29"/>
      <c r="V24" s="29"/>
      <c r="W24" s="34"/>
      <c r="X24" s="34"/>
      <c r="Y24" s="51"/>
      <c r="Z24" s="29"/>
      <c r="AA24" s="29"/>
      <c r="AB24" s="29"/>
      <c r="AC24" s="29"/>
      <c r="AD24" s="31"/>
      <c r="AE24" s="34"/>
      <c r="AF24" s="51"/>
      <c r="AG24" s="51"/>
      <c r="AH24" s="1"/>
      <c r="AI24" s="1"/>
      <c r="AJ24" s="1"/>
      <c r="AK24" s="1"/>
    </row>
    <row r="25" spans="1:37" ht="19.2" customHeight="1" x14ac:dyDescent="0.45">
      <c r="A25" s="12"/>
      <c r="B25" s="51"/>
      <c r="C25" s="34"/>
      <c r="D25" s="51"/>
      <c r="E25" s="29"/>
      <c r="F25" s="29"/>
      <c r="G25" s="29"/>
      <c r="H25" s="29"/>
      <c r="I25" s="34"/>
      <c r="J25" s="34"/>
      <c r="K25" s="29"/>
      <c r="L25" s="29"/>
      <c r="M25" s="29"/>
      <c r="N25" s="51"/>
      <c r="O25" s="29"/>
      <c r="P25" s="34"/>
      <c r="Q25" s="34"/>
      <c r="R25" s="29"/>
      <c r="S25" s="29"/>
      <c r="T25" s="29"/>
      <c r="U25" s="29"/>
      <c r="V25" s="29"/>
      <c r="W25" s="34"/>
      <c r="X25" s="34"/>
      <c r="Y25" s="51"/>
      <c r="Z25" s="29"/>
      <c r="AA25" s="29"/>
      <c r="AB25" s="29"/>
      <c r="AC25" s="29"/>
      <c r="AD25" s="31"/>
      <c r="AE25" s="34"/>
      <c r="AF25" s="51"/>
      <c r="AG25" s="51"/>
      <c r="AH25" s="12"/>
      <c r="AI25" s="1">
        <f>_xlfn.LET(
    _xlpm._範囲, $C25:$AG25,
    _xlpm._交差日数,
        COUNTIF(_xlpm._範囲, "湖"),
    _xlpm._交差日数*7.45
)</f>
        <v>0</v>
      </c>
      <c r="AJ25" s="1">
        <v>1</v>
      </c>
      <c r="AK25" s="1"/>
    </row>
    <row r="26" spans="1:37" ht="19.2" customHeight="1" x14ac:dyDescent="0.45">
      <c r="A26" s="12" t="s">
        <v>148</v>
      </c>
      <c r="B26" s="51" t="s">
        <v>120</v>
      </c>
      <c r="C26" s="34"/>
      <c r="D26" s="51"/>
      <c r="E26" s="29"/>
      <c r="F26" s="29"/>
      <c r="G26" s="29"/>
      <c r="H26" s="29"/>
      <c r="I26" s="34"/>
      <c r="J26" s="34"/>
      <c r="K26" s="29"/>
      <c r="L26" s="29"/>
      <c r="M26" s="29"/>
      <c r="N26" s="51"/>
      <c r="O26" s="29"/>
      <c r="P26" s="34"/>
      <c r="Q26" s="34"/>
      <c r="R26" s="29"/>
      <c r="S26" s="29"/>
      <c r="T26" s="29"/>
      <c r="U26" s="29"/>
      <c r="V26" s="29"/>
      <c r="W26" s="34"/>
      <c r="X26" s="34"/>
      <c r="Y26" s="51"/>
      <c r="Z26" s="29"/>
      <c r="AA26" s="29"/>
      <c r="AB26" s="29"/>
      <c r="AC26" s="29"/>
      <c r="AD26" s="31"/>
      <c r="AE26" s="34"/>
      <c r="AF26" s="51"/>
      <c r="AG26" s="51"/>
      <c r="AH26" s="12" t="s">
        <v>148</v>
      </c>
      <c r="AI26" s="1">
        <f>_xlfn.LET(
    _xlpm._範囲, $C26:$AG26,
    _xlpm._交差日数,
        COUNTIF(_xlpm._範囲, "湖"),
    _xlpm._交差日数*7.45
)</f>
        <v>0</v>
      </c>
      <c r="AJ26" s="1">
        <v>1</v>
      </c>
      <c r="AK26" s="1"/>
    </row>
    <row r="27" spans="1:37" ht="19.2" customHeight="1" x14ac:dyDescent="0.45">
      <c r="AD27" s="24"/>
      <c r="AH27" s="18" t="s">
        <v>149</v>
      </c>
      <c r="AI27" s="1">
        <f>SUM(AI28:AI30)</f>
        <v>2123.0500000000002</v>
      </c>
    </row>
    <row r="28" spans="1:37" ht="19.2" customHeight="1" x14ac:dyDescent="0.45">
      <c r="AH28" s="18" t="s">
        <v>150</v>
      </c>
      <c r="AI28" s="1">
        <f t="array" ref="AI28">_xlfn.LET(
    _xlpm._分類,$AJ$1:$AJ$26,
    _xlpm._工数,$AI$1:$AI$26,
    SUM(
        _xlfn._xlws.FILTER(_xlpm._工数,
            _xlpm._分類 = 1)
    )+AK28
)</f>
        <v>843.25</v>
      </c>
      <c r="AK28" s="1">
        <f t="array" ref="AK28">_xlfn.LET(
    _xlpm._分類,$AJ$1:$AJ$26,
    _xlpm._時間外,$AK$1:$AK$26,
    SUM(
        _xlfn._xlws.FILTER(_xlpm._時間外,
            _xlpm._分類 = 1)
    )
)</f>
        <v>21.5</v>
      </c>
    </row>
    <row r="29" spans="1:37" ht="19.2" customHeight="1" x14ac:dyDescent="0.45">
      <c r="AH29" s="18" t="s">
        <v>142</v>
      </c>
      <c r="AI29" s="1">
        <f t="array" ref="AI29">_xlfn.LET(
    _xlpm._分類,$AJ$1:$AJ$26,
    _xlpm._工数,$AI$1:$AI$26,
    SUM(
        _xlfn._xlws.FILTER(_xlpm._工数,
            _xlpm._分類 = 2)
    )+AK29
)</f>
        <v>727.5</v>
      </c>
      <c r="AK29" s="1">
        <f t="array" ref="AK29">_xlfn.LET(
    _xlpm._分類,$AJ$1:$AJ$26,
    _xlpm._時間外,$AK$1:$AK$26,
    SUM(
        _xlfn._xlws.FILTER(_xlpm._時間外,
            _xlpm._分類 = 2)
    )
)</f>
        <v>35.5</v>
      </c>
    </row>
    <row r="30" spans="1:37" ht="19.2" customHeight="1" x14ac:dyDescent="0.45">
      <c r="AH30" s="18" t="s">
        <v>151</v>
      </c>
      <c r="AI30" s="1">
        <f t="array" ref="AI30">_xlfn.LET(
    _xlpm._分類,$AJ$1:$AJ$26,
    _xlpm._工数,$AI$1:$AI$26,
    SUM(
        _xlfn._xlws.FILTER(_xlpm._工数,
            _xlpm._分類 = 0)
    )+AK30
)</f>
        <v>552.30000000000007</v>
      </c>
      <c r="AK30" s="1">
        <f t="array" ref="AK30">_xlfn.LET(
    _xlpm._分類,$AJ$1:$AJ$26,
    _xlpm._時間外,$AK$1:$AK$26,
    SUM(
        _xlfn._xlws.FILTER(_xlpm._時間外,
            _xlpm._分類 = 0)
    )
)</f>
        <v>7.5</v>
      </c>
    </row>
    <row r="31" spans="1:37" ht="19.2" customHeight="1" x14ac:dyDescent="0.45">
      <c r="AJ31" s="1" t="s">
        <v>152</v>
      </c>
      <c r="AK31" s="1">
        <f>SUM(AK28:AK30)</f>
        <v>64.5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O15" sqref="O15"/>
    </sheetView>
  </sheetViews>
  <sheetFormatPr defaultRowHeight="19.2" customHeight="1" x14ac:dyDescent="0.45"/>
  <cols>
    <col min="1" max="1" width="12.3984375" style="19" bestFit="1" customWidth="1"/>
    <col min="2" max="2" width="10.8984375" style="19" bestFit="1" customWidth="1"/>
    <col min="3" max="33" width="3.59765625" style="19" customWidth="1"/>
    <col min="34" max="34" width="13.3984375" style="19" bestFit="1" customWidth="1"/>
    <col min="35" max="35" width="13" style="19" bestFit="1" customWidth="1"/>
    <col min="36" max="36" width="11.59765625" style="19" bestFit="1" customWidth="1"/>
    <col min="38" max="38" width="3.59765625" style="19" customWidth="1"/>
  </cols>
  <sheetData>
    <row r="1" spans="1:38" ht="19.2" customHeight="1" thickBot="1" x14ac:dyDescent="0.5">
      <c r="A1" s="3">
        <v>46113</v>
      </c>
      <c r="AB1" s="4" t="s">
        <v>115</v>
      </c>
    </row>
    <row r="2" spans="1:38" ht="19.2" customHeight="1" thickBot="1" x14ac:dyDescent="0.5">
      <c r="A2" s="5">
        <f>YEAR(A1)</f>
        <v>2026</v>
      </c>
      <c r="B2" s="6">
        <f>MONTH(A1)</f>
        <v>4</v>
      </c>
      <c r="D2" s="7" t="s">
        <v>116</v>
      </c>
      <c r="J2" s="4" t="s">
        <v>117</v>
      </c>
      <c r="K2" s="4" t="s">
        <v>118</v>
      </c>
      <c r="L2" s="2"/>
      <c r="N2" s="4" t="s">
        <v>119</v>
      </c>
      <c r="O2" s="4"/>
      <c r="P2" s="4" t="s">
        <v>120</v>
      </c>
      <c r="Q2" s="4"/>
      <c r="S2" s="4" t="s">
        <v>121</v>
      </c>
      <c r="T2" t="s">
        <v>122</v>
      </c>
      <c r="V2" s="8" t="s">
        <v>123</v>
      </c>
      <c r="W2" s="9"/>
      <c r="X2" s="10" t="s">
        <v>124</v>
      </c>
      <c r="Y2" s="9"/>
      <c r="Z2" s="11"/>
      <c r="AB2" s="4" t="s">
        <v>125</v>
      </c>
      <c r="AI2" s="1" t="s">
        <v>126</v>
      </c>
    </row>
    <row r="3" spans="1:38" ht="9.75" customHeight="1" x14ac:dyDescent="0.45">
      <c r="AI3" s="1"/>
    </row>
    <row r="4" spans="1:38" ht="19.2" customHeight="1" x14ac:dyDescent="0.45">
      <c r="A4" s="12"/>
      <c r="B4" s="12"/>
      <c r="C4" s="50">
        <f>DATEVALUE(A2&amp;"/"&amp;B2&amp;"/1")</f>
        <v>46113</v>
      </c>
      <c r="D4" s="50">
        <f t="shared" ref="D4:AF4" si="0">C4+1</f>
        <v>46114</v>
      </c>
      <c r="E4" s="50">
        <f t="shared" si="0"/>
        <v>46115</v>
      </c>
      <c r="F4" s="32">
        <f t="shared" si="0"/>
        <v>46116</v>
      </c>
      <c r="G4" s="32">
        <f t="shared" si="0"/>
        <v>46117</v>
      </c>
      <c r="H4" s="50">
        <f t="shared" si="0"/>
        <v>46118</v>
      </c>
      <c r="I4" s="50">
        <f t="shared" si="0"/>
        <v>46119</v>
      </c>
      <c r="J4" s="50">
        <f t="shared" si="0"/>
        <v>46120</v>
      </c>
      <c r="K4" s="50">
        <f t="shared" si="0"/>
        <v>46121</v>
      </c>
      <c r="L4" s="50">
        <f t="shared" si="0"/>
        <v>46122</v>
      </c>
      <c r="M4" s="32">
        <f t="shared" si="0"/>
        <v>46123</v>
      </c>
      <c r="N4" s="32">
        <f t="shared" si="0"/>
        <v>46124</v>
      </c>
      <c r="O4" s="50">
        <f t="shared" si="0"/>
        <v>46125</v>
      </c>
      <c r="P4" s="50">
        <f t="shared" si="0"/>
        <v>46126</v>
      </c>
      <c r="Q4" s="50">
        <f t="shared" si="0"/>
        <v>46127</v>
      </c>
      <c r="R4" s="50">
        <f t="shared" si="0"/>
        <v>46128</v>
      </c>
      <c r="S4" s="50">
        <f t="shared" si="0"/>
        <v>46129</v>
      </c>
      <c r="T4" s="32">
        <f t="shared" si="0"/>
        <v>46130</v>
      </c>
      <c r="U4" s="32">
        <f t="shared" si="0"/>
        <v>46131</v>
      </c>
      <c r="V4" s="50">
        <f t="shared" si="0"/>
        <v>46132</v>
      </c>
      <c r="W4" s="50">
        <f t="shared" si="0"/>
        <v>46133</v>
      </c>
      <c r="X4" s="50">
        <f t="shared" si="0"/>
        <v>46134</v>
      </c>
      <c r="Y4" s="50">
        <f t="shared" si="0"/>
        <v>46135</v>
      </c>
      <c r="Z4" s="50">
        <f t="shared" si="0"/>
        <v>46136</v>
      </c>
      <c r="AA4" s="32">
        <f t="shared" si="0"/>
        <v>46137</v>
      </c>
      <c r="AB4" s="32">
        <f t="shared" si="0"/>
        <v>46138</v>
      </c>
      <c r="AC4" s="50">
        <f t="shared" si="0"/>
        <v>46139</v>
      </c>
      <c r="AD4" s="50">
        <f t="shared" si="0"/>
        <v>46140</v>
      </c>
      <c r="AE4" s="50">
        <f t="shared" si="0"/>
        <v>46141</v>
      </c>
      <c r="AF4" s="50">
        <f t="shared" si="0"/>
        <v>46142</v>
      </c>
      <c r="AG4" s="50"/>
      <c r="AH4" s="13"/>
      <c r="AI4" s="14">
        <v>21</v>
      </c>
      <c r="AL4" s="13"/>
    </row>
    <row r="5" spans="1:38" ht="19.2" customHeight="1" x14ac:dyDescent="0.45">
      <c r="A5" s="12"/>
      <c r="B5" s="51" t="s">
        <v>127</v>
      </c>
      <c r="C5" s="52">
        <f>C4</f>
        <v>46113</v>
      </c>
      <c r="D5" s="52">
        <f t="shared" ref="D5:AF5" si="1">C5+1</f>
        <v>46114</v>
      </c>
      <c r="E5" s="52">
        <f t="shared" si="1"/>
        <v>46115</v>
      </c>
      <c r="F5" s="33">
        <f t="shared" si="1"/>
        <v>46116</v>
      </c>
      <c r="G5" s="33">
        <f t="shared" si="1"/>
        <v>46117</v>
      </c>
      <c r="H5" s="52">
        <f t="shared" si="1"/>
        <v>46118</v>
      </c>
      <c r="I5" s="52">
        <f t="shared" si="1"/>
        <v>46119</v>
      </c>
      <c r="J5" s="52">
        <f t="shared" si="1"/>
        <v>46120</v>
      </c>
      <c r="K5" s="52">
        <f t="shared" si="1"/>
        <v>46121</v>
      </c>
      <c r="L5" s="52">
        <f t="shared" si="1"/>
        <v>46122</v>
      </c>
      <c r="M5" s="33">
        <f t="shared" si="1"/>
        <v>46123</v>
      </c>
      <c r="N5" s="33">
        <f t="shared" si="1"/>
        <v>46124</v>
      </c>
      <c r="O5" s="52">
        <f t="shared" si="1"/>
        <v>46125</v>
      </c>
      <c r="P5" s="52">
        <f t="shared" si="1"/>
        <v>46126</v>
      </c>
      <c r="Q5" s="52">
        <f t="shared" si="1"/>
        <v>46127</v>
      </c>
      <c r="R5" s="52">
        <f t="shared" si="1"/>
        <v>46128</v>
      </c>
      <c r="S5" s="52">
        <f t="shared" si="1"/>
        <v>46129</v>
      </c>
      <c r="T5" s="33">
        <f t="shared" si="1"/>
        <v>46130</v>
      </c>
      <c r="U5" s="33">
        <f t="shared" si="1"/>
        <v>46131</v>
      </c>
      <c r="V5" s="52">
        <f t="shared" si="1"/>
        <v>46132</v>
      </c>
      <c r="W5" s="52">
        <f t="shared" si="1"/>
        <v>46133</v>
      </c>
      <c r="X5" s="52">
        <f t="shared" si="1"/>
        <v>46134</v>
      </c>
      <c r="Y5" s="52">
        <f t="shared" si="1"/>
        <v>46135</v>
      </c>
      <c r="Z5" s="52">
        <f t="shared" si="1"/>
        <v>46136</v>
      </c>
      <c r="AA5" s="33">
        <f t="shared" si="1"/>
        <v>46137</v>
      </c>
      <c r="AB5" s="33">
        <f t="shared" si="1"/>
        <v>46138</v>
      </c>
      <c r="AC5" s="52">
        <f t="shared" si="1"/>
        <v>46139</v>
      </c>
      <c r="AD5" s="52">
        <f t="shared" si="1"/>
        <v>46140</v>
      </c>
      <c r="AE5" s="52">
        <f t="shared" si="1"/>
        <v>46141</v>
      </c>
      <c r="AF5" s="52">
        <f t="shared" si="1"/>
        <v>46142</v>
      </c>
      <c r="AG5" s="52"/>
      <c r="AH5" s="15"/>
      <c r="AI5" s="16" t="s">
        <v>128</v>
      </c>
      <c r="AJ5" s="1" t="s">
        <v>129</v>
      </c>
      <c r="AK5" s="1" t="s">
        <v>130</v>
      </c>
      <c r="AL5" s="15"/>
    </row>
    <row r="6" spans="1:38" ht="19.2" customHeight="1" x14ac:dyDescent="0.45">
      <c r="A6" s="12" t="s">
        <v>131</v>
      </c>
      <c r="B6" s="51"/>
      <c r="C6" s="51"/>
      <c r="D6" s="51"/>
      <c r="E6" s="51"/>
      <c r="F6" s="34"/>
      <c r="G6" s="34"/>
      <c r="H6" s="51"/>
      <c r="I6" s="51"/>
      <c r="J6" s="51"/>
      <c r="K6" s="51"/>
      <c r="L6" s="51"/>
      <c r="M6" s="34"/>
      <c r="N6" s="34"/>
      <c r="O6" s="51"/>
      <c r="P6" s="51"/>
      <c r="Q6" s="51"/>
      <c r="R6" s="51"/>
      <c r="S6" s="51"/>
      <c r="T6" s="34"/>
      <c r="U6" s="34"/>
      <c r="V6" s="51"/>
      <c r="W6" s="51"/>
      <c r="X6" s="51"/>
      <c r="Y6" s="51"/>
      <c r="Z6" s="51"/>
      <c r="AA6" s="34"/>
      <c r="AB6" s="34"/>
      <c r="AC6" s="51"/>
      <c r="AD6" s="51"/>
      <c r="AE6" s="29"/>
      <c r="AF6" s="51"/>
      <c r="AG6" s="51"/>
      <c r="AH6" s="12" t="s">
        <v>131</v>
      </c>
      <c r="AI6" s="1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1">
        <v>0</v>
      </c>
      <c r="AK6" s="1"/>
    </row>
    <row r="7" spans="1:38" ht="19.2" customHeight="1" x14ac:dyDescent="0.45">
      <c r="A7" s="12"/>
      <c r="B7" s="51"/>
      <c r="C7" s="51"/>
      <c r="D7" s="51"/>
      <c r="E7" s="51"/>
      <c r="F7" s="34"/>
      <c r="G7" s="34"/>
      <c r="H7" s="51"/>
      <c r="I7" s="51"/>
      <c r="J7" s="51"/>
      <c r="K7" s="51"/>
      <c r="L7" s="51"/>
      <c r="M7" s="34"/>
      <c r="N7" s="34"/>
      <c r="O7" s="51"/>
      <c r="P7" s="51"/>
      <c r="Q7" s="51"/>
      <c r="R7" s="51"/>
      <c r="S7" s="51"/>
      <c r="T7" s="34"/>
      <c r="U7" s="34"/>
      <c r="V7" s="51"/>
      <c r="W7" s="51"/>
      <c r="X7" s="51"/>
      <c r="Y7" s="51"/>
      <c r="Z7" s="51"/>
      <c r="AA7" s="34"/>
      <c r="AB7" s="34"/>
      <c r="AC7" s="51"/>
      <c r="AD7" s="51"/>
      <c r="AE7" s="29"/>
      <c r="AF7" s="51"/>
      <c r="AG7" s="51"/>
      <c r="AH7" s="12"/>
      <c r="AI7" s="17">
        <f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1"/>
      <c r="AK7" s="1"/>
    </row>
    <row r="8" spans="1:38" ht="19.2" customHeight="1" x14ac:dyDescent="0.45">
      <c r="A8" s="12" t="s">
        <v>132</v>
      </c>
      <c r="B8" s="51"/>
      <c r="C8" s="51"/>
      <c r="D8" s="51"/>
      <c r="E8" s="51"/>
      <c r="F8" s="34"/>
      <c r="G8" s="34"/>
      <c r="H8" s="51"/>
      <c r="I8" s="51"/>
      <c r="J8" s="51"/>
      <c r="K8" s="51"/>
      <c r="L8" s="51"/>
      <c r="M8" s="34"/>
      <c r="N8" s="34"/>
      <c r="O8" s="51"/>
      <c r="P8" s="51"/>
      <c r="Q8" s="51"/>
      <c r="R8" s="51"/>
      <c r="S8" s="51"/>
      <c r="T8" s="34"/>
      <c r="U8" s="34"/>
      <c r="V8" s="51"/>
      <c r="W8" s="51"/>
      <c r="X8" s="51"/>
      <c r="Y8" s="51"/>
      <c r="Z8" s="51"/>
      <c r="AA8" s="34"/>
      <c r="AB8" s="34"/>
      <c r="AC8" s="51"/>
      <c r="AD8" s="51"/>
      <c r="AE8" s="29"/>
      <c r="AF8" s="51"/>
      <c r="AG8" s="51"/>
      <c r="AH8" s="12" t="s">
        <v>133</v>
      </c>
      <c r="AI8" s="17">
        <f>_xlfn.LET(
_xlpm._範囲, $C8:$AG8,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8" s="1">
        <v>0</v>
      </c>
      <c r="AK8" s="17" t="e">
        <v>#VALUE!</v>
      </c>
    </row>
    <row r="9" spans="1:38" ht="19.2" customHeight="1" x14ac:dyDescent="0.45">
      <c r="A9" s="12" t="s">
        <v>134</v>
      </c>
      <c r="B9" s="51"/>
      <c r="C9" s="51"/>
      <c r="D9" s="51"/>
      <c r="E9" s="51"/>
      <c r="F9" s="34"/>
      <c r="G9" s="34"/>
      <c r="H9" s="51"/>
      <c r="I9" s="51"/>
      <c r="J9" s="51"/>
      <c r="K9" s="51"/>
      <c r="L9" s="51"/>
      <c r="M9" s="34"/>
      <c r="N9" s="34"/>
      <c r="O9" s="51"/>
      <c r="P9" s="51"/>
      <c r="Q9" s="51"/>
      <c r="R9" s="51"/>
      <c r="S9" s="51"/>
      <c r="T9" s="34"/>
      <c r="U9" s="34"/>
      <c r="V9" s="51"/>
      <c r="W9" s="51"/>
      <c r="X9" s="51"/>
      <c r="Y9" s="51"/>
      <c r="Z9" s="51"/>
      <c r="AA9" s="34"/>
      <c r="AB9" s="34"/>
      <c r="AC9" s="51"/>
      <c r="AD9" s="51"/>
      <c r="AE9" s="29"/>
      <c r="AF9" s="51"/>
      <c r="AG9" s="51"/>
      <c r="AH9" s="12" t="s">
        <v>137</v>
      </c>
      <c r="AI9" s="17">
        <f>_xlfn.LET(
_xlpm._範囲, $C9:$AG9,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9" s="1">
        <v>0</v>
      </c>
      <c r="AK9" s="17" t="e">
        <v>#VALUE!</v>
      </c>
    </row>
    <row r="10" spans="1:38" ht="19.2" customHeight="1" x14ac:dyDescent="0.45">
      <c r="A10" s="12"/>
      <c r="B10" s="51"/>
      <c r="C10" s="51"/>
      <c r="D10" s="51"/>
      <c r="E10" s="51"/>
      <c r="F10" s="34"/>
      <c r="G10" s="34"/>
      <c r="H10" s="51"/>
      <c r="I10" s="51"/>
      <c r="J10" s="51"/>
      <c r="K10" s="51"/>
      <c r="L10" s="51"/>
      <c r="M10" s="34"/>
      <c r="N10" s="34"/>
      <c r="O10" s="51"/>
      <c r="P10" s="51"/>
      <c r="Q10" s="51"/>
      <c r="R10" s="51"/>
      <c r="S10" s="51"/>
      <c r="T10" s="34"/>
      <c r="U10" s="34"/>
      <c r="V10" s="51"/>
      <c r="W10" s="51"/>
      <c r="X10" s="51"/>
      <c r="Y10" s="51"/>
      <c r="Z10" s="51"/>
      <c r="AA10" s="34"/>
      <c r="AB10" s="34"/>
      <c r="AC10" s="51"/>
      <c r="AD10" s="51"/>
      <c r="AE10" s="29"/>
      <c r="AF10" s="51"/>
      <c r="AG10" s="51"/>
      <c r="AH10" s="12"/>
      <c r="AI10" s="17"/>
      <c r="AJ10" s="1"/>
      <c r="AK10" s="17"/>
    </row>
    <row r="11" spans="1:38" ht="19.2" customHeight="1" x14ac:dyDescent="0.45">
      <c r="A11" s="12" t="s">
        <v>110</v>
      </c>
      <c r="B11" s="51" t="s">
        <v>138</v>
      </c>
      <c r="C11" s="51"/>
      <c r="D11" s="51"/>
      <c r="E11" s="51"/>
      <c r="F11" s="34"/>
      <c r="G11" s="34"/>
      <c r="H11" s="51"/>
      <c r="I11" s="51"/>
      <c r="J11" s="51"/>
      <c r="K11" s="51"/>
      <c r="L11" s="51"/>
      <c r="M11" s="34"/>
      <c r="N11" s="34"/>
      <c r="O11" s="51"/>
      <c r="P11" s="51"/>
      <c r="Q11" s="51"/>
      <c r="R11" s="51"/>
      <c r="S11" s="51"/>
      <c r="T11" s="34"/>
      <c r="U11" s="34"/>
      <c r="V11" s="51"/>
      <c r="W11" s="51"/>
      <c r="X11" s="51"/>
      <c r="Y11" s="51"/>
      <c r="Z11" s="51"/>
      <c r="AA11" s="34"/>
      <c r="AB11" s="34"/>
      <c r="AC11" s="51"/>
      <c r="AD11" s="51"/>
      <c r="AE11" s="29"/>
      <c r="AF11" s="51"/>
      <c r="AG11" s="51"/>
      <c r="AH11" s="12" t="s">
        <v>139</v>
      </c>
      <c r="AI11" s="17">
        <f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1">
        <v>1</v>
      </c>
      <c r="AK11" s="17" t="e">
        <v>#VALUE!</v>
      </c>
    </row>
    <row r="12" spans="1:38" ht="19.2" customHeight="1" x14ac:dyDescent="0.45">
      <c r="A12" s="12" t="s">
        <v>109</v>
      </c>
      <c r="B12" s="51" t="s">
        <v>138</v>
      </c>
      <c r="C12" s="51"/>
      <c r="D12" s="51"/>
      <c r="E12" s="51"/>
      <c r="F12" s="34"/>
      <c r="G12" s="34"/>
      <c r="H12" s="51"/>
      <c r="I12" s="51"/>
      <c r="J12" s="51"/>
      <c r="K12" s="51"/>
      <c r="L12" s="51"/>
      <c r="M12" s="34"/>
      <c r="N12" s="34"/>
      <c r="O12" s="51"/>
      <c r="P12" s="51"/>
      <c r="Q12" s="51"/>
      <c r="R12" s="51"/>
      <c r="S12" s="51"/>
      <c r="T12" s="34"/>
      <c r="U12" s="34"/>
      <c r="V12" s="51"/>
      <c r="W12" s="51"/>
      <c r="X12" s="51"/>
      <c r="Y12" s="51"/>
      <c r="Z12" s="51"/>
      <c r="AA12" s="34"/>
      <c r="AB12" s="34"/>
      <c r="AC12" s="51"/>
      <c r="AD12" s="51"/>
      <c r="AE12" s="29"/>
      <c r="AF12" s="51"/>
      <c r="AG12" s="51"/>
      <c r="AH12" s="12" t="s">
        <v>109</v>
      </c>
      <c r="AI12" s="17">
        <f>_xlfn.LET(
_xlpm._範囲, $C12:$AG12,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2" s="1">
        <v>1</v>
      </c>
      <c r="AK12" s="17" t="e">
        <v>#VALUE!</v>
      </c>
    </row>
    <row r="13" spans="1:38" ht="19.2" customHeight="1" x14ac:dyDescent="0.45">
      <c r="A13" s="12" t="s">
        <v>111</v>
      </c>
      <c r="B13" s="51" t="s">
        <v>138</v>
      </c>
      <c r="C13" s="51"/>
      <c r="D13" s="51"/>
      <c r="E13" s="51"/>
      <c r="F13" s="34"/>
      <c r="G13" s="34"/>
      <c r="H13" s="30" t="s">
        <v>140</v>
      </c>
      <c r="I13" s="51"/>
      <c r="J13" s="51"/>
      <c r="K13" s="51"/>
      <c r="L13" s="51"/>
      <c r="M13" s="34"/>
      <c r="N13" s="34"/>
      <c r="O13" s="51"/>
      <c r="P13" s="51"/>
      <c r="Q13" s="30" t="s">
        <v>140</v>
      </c>
      <c r="R13" s="51"/>
      <c r="S13" s="51"/>
      <c r="T13" s="34"/>
      <c r="U13" s="34"/>
      <c r="V13" s="51"/>
      <c r="W13" s="51"/>
      <c r="X13" s="51"/>
      <c r="Y13" s="51"/>
      <c r="Z13" s="51"/>
      <c r="AA13" s="34"/>
      <c r="AB13" s="34"/>
      <c r="AC13" s="51"/>
      <c r="AD13" s="51"/>
      <c r="AE13" s="29"/>
      <c r="AF13" s="51"/>
      <c r="AG13" s="51"/>
      <c r="AH13" s="12" t="s">
        <v>111</v>
      </c>
      <c r="AI13" s="17">
        <f>_xlfn.LET(
_xlpm._範囲, $C13:$AG13,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149.45000000000002</v>
      </c>
      <c r="AJ13" s="1">
        <v>1</v>
      </c>
      <c r="AK13" s="17" t="e">
        <v>#VALUE!</v>
      </c>
    </row>
    <row r="14" spans="1:38" ht="19.2" customHeight="1" x14ac:dyDescent="0.45">
      <c r="A14" s="12"/>
      <c r="B14" s="51"/>
      <c r="C14" s="51"/>
      <c r="D14" s="51"/>
      <c r="E14" s="51"/>
      <c r="F14" s="34"/>
      <c r="G14" s="34"/>
      <c r="H14" s="51"/>
      <c r="I14" s="51"/>
      <c r="J14" s="51"/>
      <c r="K14" s="51"/>
      <c r="L14" s="51"/>
      <c r="M14" s="34"/>
      <c r="N14" s="34"/>
      <c r="O14" s="51"/>
      <c r="P14" s="51"/>
      <c r="Q14" s="51"/>
      <c r="R14" s="51"/>
      <c r="S14" s="51"/>
      <c r="T14" s="34"/>
      <c r="U14" s="34"/>
      <c r="V14" s="51"/>
      <c r="W14" s="51"/>
      <c r="X14" s="51"/>
      <c r="Y14" s="51"/>
      <c r="Z14" s="51"/>
      <c r="AA14" s="34"/>
      <c r="AB14" s="34"/>
      <c r="AC14" s="51"/>
      <c r="AD14" s="51"/>
      <c r="AE14" s="29"/>
      <c r="AF14" s="51"/>
      <c r="AG14" s="51"/>
      <c r="AH14" s="12"/>
      <c r="AI14" s="17"/>
      <c r="AJ14" s="1"/>
      <c r="AK14" s="17" t="e">
        <v>#VALUE!</v>
      </c>
    </row>
    <row r="15" spans="1:38" ht="19.2" customHeight="1" x14ac:dyDescent="0.45">
      <c r="A15" s="12" t="s">
        <v>112</v>
      </c>
      <c r="B15" s="51" t="s">
        <v>138</v>
      </c>
      <c r="C15" s="51"/>
      <c r="D15" s="51"/>
      <c r="E15" s="51"/>
      <c r="F15" s="34"/>
      <c r="G15" s="34"/>
      <c r="H15" s="51"/>
      <c r="I15" s="51"/>
      <c r="J15" s="30" t="s">
        <v>117</v>
      </c>
      <c r="K15" s="51"/>
      <c r="L15" s="51"/>
      <c r="M15" s="34"/>
      <c r="N15" s="34"/>
      <c r="O15" s="51"/>
      <c r="P15" s="51"/>
      <c r="Q15" s="51"/>
      <c r="R15" s="51"/>
      <c r="S15" s="51"/>
      <c r="T15" s="34"/>
      <c r="U15" s="34"/>
      <c r="V15" s="51"/>
      <c r="W15" s="51"/>
      <c r="X15" s="51"/>
      <c r="Y15" s="51"/>
      <c r="Z15" s="51"/>
      <c r="AA15" s="34"/>
      <c r="AB15" s="34"/>
      <c r="AC15" s="51"/>
      <c r="AD15" s="51"/>
      <c r="AE15" s="29"/>
      <c r="AF15" s="51"/>
      <c r="AG15" s="51"/>
      <c r="AH15" s="12" t="s">
        <v>112</v>
      </c>
      <c r="AI15" s="17">
        <f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1">
        <v>1</v>
      </c>
      <c r="AK15" s="17" t="e">
        <v>#VALUE!</v>
      </c>
    </row>
    <row r="16" spans="1:38" ht="19.2" customHeight="1" x14ac:dyDescent="0.45">
      <c r="A16" s="12" t="s">
        <v>113</v>
      </c>
      <c r="B16" s="51" t="s">
        <v>138</v>
      </c>
      <c r="C16" s="51"/>
      <c r="D16" s="51"/>
      <c r="E16" s="51"/>
      <c r="F16" s="34"/>
      <c r="G16" s="34"/>
      <c r="H16" s="51"/>
      <c r="I16" s="51"/>
      <c r="J16" s="51"/>
      <c r="K16" s="51"/>
      <c r="L16" s="51"/>
      <c r="M16" s="34"/>
      <c r="N16" s="34"/>
      <c r="O16" s="51"/>
      <c r="P16" s="51"/>
      <c r="Q16" s="51"/>
      <c r="R16" s="51"/>
      <c r="S16" s="51"/>
      <c r="T16" s="34"/>
      <c r="U16" s="34"/>
      <c r="V16" s="51"/>
      <c r="W16" s="51"/>
      <c r="X16" s="51"/>
      <c r="Y16" s="51"/>
      <c r="Z16" s="51"/>
      <c r="AA16" s="34"/>
      <c r="AB16" s="34"/>
      <c r="AC16" s="51"/>
      <c r="AD16" s="51"/>
      <c r="AE16" s="29"/>
      <c r="AF16" s="51"/>
      <c r="AG16" s="51"/>
      <c r="AH16" s="12" t="s">
        <v>113</v>
      </c>
      <c r="AI16" s="17">
        <f>_xlfn.LET(
_xlpm._範囲, $C16:$AG16,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16" s="1">
        <v>1</v>
      </c>
      <c r="AK16" s="17" t="e">
        <v>#VALUE!</v>
      </c>
    </row>
    <row r="17" spans="1:37" ht="19.2" customHeight="1" x14ac:dyDescent="0.45">
      <c r="A17" s="12" t="s">
        <v>114</v>
      </c>
      <c r="B17" s="51" t="s">
        <v>138</v>
      </c>
      <c r="C17" s="51"/>
      <c r="D17" s="51"/>
      <c r="E17" s="51"/>
      <c r="F17" s="34"/>
      <c r="G17" s="34"/>
      <c r="H17" s="30" t="s">
        <v>136</v>
      </c>
      <c r="I17" s="51"/>
      <c r="J17" s="30" t="s">
        <v>117</v>
      </c>
      <c r="K17" s="51"/>
      <c r="L17" s="51"/>
      <c r="M17" s="34"/>
      <c r="N17" s="34"/>
      <c r="O17" s="51"/>
      <c r="P17" s="51"/>
      <c r="Q17" s="51"/>
      <c r="R17" s="51"/>
      <c r="S17" s="51"/>
      <c r="T17" s="34"/>
      <c r="U17" s="34"/>
      <c r="V17" s="51"/>
      <c r="W17" s="51"/>
      <c r="X17" s="51"/>
      <c r="Y17" s="51"/>
      <c r="Z17" s="51"/>
      <c r="AA17" s="34"/>
      <c r="AB17" s="34"/>
      <c r="AC17" s="51"/>
      <c r="AD17" s="51"/>
      <c r="AE17" s="29"/>
      <c r="AF17" s="51"/>
      <c r="AG17" s="51"/>
      <c r="AH17" s="12" t="s">
        <v>114</v>
      </c>
      <c r="AI17" s="17">
        <f>_xlfn.LET(
_xlpm._範囲, $C17:$AG17,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144.85000000000002</v>
      </c>
      <c r="AJ17" s="1">
        <v>1</v>
      </c>
      <c r="AK17" s="17" t="e">
        <v>#VALUE!</v>
      </c>
    </row>
    <row r="18" spans="1:37" ht="19.2" customHeight="1" x14ac:dyDescent="0.45">
      <c r="A18" s="12"/>
      <c r="B18" s="51"/>
      <c r="C18" s="51"/>
      <c r="D18" s="51"/>
      <c r="E18" s="51"/>
      <c r="F18" s="34"/>
      <c r="G18" s="34"/>
      <c r="H18" s="51"/>
      <c r="I18" s="51"/>
      <c r="J18" s="51"/>
      <c r="K18" s="51"/>
      <c r="L18" s="51"/>
      <c r="M18" s="34"/>
      <c r="N18" s="34"/>
      <c r="O18" s="51"/>
      <c r="P18" s="51"/>
      <c r="Q18" s="51"/>
      <c r="R18" s="51"/>
      <c r="S18" s="51"/>
      <c r="T18" s="34"/>
      <c r="U18" s="34"/>
      <c r="V18" s="51"/>
      <c r="W18" s="51"/>
      <c r="X18" s="51"/>
      <c r="Y18" s="51"/>
      <c r="Z18" s="51"/>
      <c r="AA18" s="34"/>
      <c r="AB18" s="34"/>
      <c r="AC18" s="51"/>
      <c r="AD18" s="51"/>
      <c r="AE18" s="29"/>
      <c r="AF18" s="51"/>
      <c r="AG18" s="51"/>
      <c r="AH18" s="12"/>
      <c r="AI18" s="17"/>
      <c r="AJ18" s="1"/>
      <c r="AK18" s="17"/>
    </row>
    <row r="19" spans="1:37" ht="19.2" customHeight="1" x14ac:dyDescent="0.45">
      <c r="A19" s="12" t="s">
        <v>141</v>
      </c>
      <c r="B19" s="51" t="s">
        <v>142</v>
      </c>
      <c r="C19" s="51"/>
      <c r="D19" s="51"/>
      <c r="E19" s="51"/>
      <c r="F19" s="34"/>
      <c r="G19" s="34"/>
      <c r="H19" s="51"/>
      <c r="I19" s="51"/>
      <c r="J19" s="51"/>
      <c r="K19" s="51"/>
      <c r="L19" s="51"/>
      <c r="M19" s="34"/>
      <c r="N19" s="34"/>
      <c r="O19" s="51"/>
      <c r="P19" s="51"/>
      <c r="Q19" s="51"/>
      <c r="R19" s="51"/>
      <c r="S19" s="51"/>
      <c r="T19" s="34"/>
      <c r="U19" s="34"/>
      <c r="V19" s="51"/>
      <c r="W19" s="51"/>
      <c r="X19" s="51"/>
      <c r="Y19" s="51"/>
      <c r="Z19" s="51"/>
      <c r="AA19" s="34"/>
      <c r="AB19" s="34"/>
      <c r="AC19" s="51"/>
      <c r="AD19" s="51"/>
      <c r="AE19" s="29"/>
      <c r="AF19" s="51"/>
      <c r="AG19" s="51"/>
      <c r="AH19" s="12" t="s">
        <v>141</v>
      </c>
      <c r="AI19" s="17">
        <f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1">
        <v>2</v>
      </c>
      <c r="AK19" s="17" t="e">
        <v>#VALUE!</v>
      </c>
    </row>
    <row r="20" spans="1:37" ht="19.2" customHeight="1" x14ac:dyDescent="0.45">
      <c r="A20" s="12" t="s">
        <v>143</v>
      </c>
      <c r="B20" s="51" t="s">
        <v>142</v>
      </c>
      <c r="C20" s="51"/>
      <c r="D20" s="51"/>
      <c r="E20" s="30" t="s">
        <v>117</v>
      </c>
      <c r="F20" s="34"/>
      <c r="G20" s="34"/>
      <c r="H20" s="51"/>
      <c r="I20" s="51"/>
      <c r="J20" s="51"/>
      <c r="K20" s="51"/>
      <c r="L20" s="51"/>
      <c r="M20" s="34"/>
      <c r="N20" s="34"/>
      <c r="O20" s="51"/>
      <c r="P20" s="51"/>
      <c r="Q20" s="51"/>
      <c r="R20" s="51"/>
      <c r="S20" s="51"/>
      <c r="T20" s="34"/>
      <c r="U20" s="34"/>
      <c r="V20" s="51"/>
      <c r="W20" s="51"/>
      <c r="X20" s="51"/>
      <c r="Y20" s="51"/>
      <c r="Z20" s="51"/>
      <c r="AA20" s="34"/>
      <c r="AB20" s="34"/>
      <c r="AC20" s="51"/>
      <c r="AD20" s="51"/>
      <c r="AE20" s="29"/>
      <c r="AF20" s="51"/>
      <c r="AG20" s="51"/>
      <c r="AH20" s="12" t="s">
        <v>143</v>
      </c>
      <c r="AI20" s="17">
        <f>_xlfn.LET(
_xlpm._範囲, $C20:$AG20,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149</v>
      </c>
      <c r="AJ20" s="1">
        <v>2</v>
      </c>
      <c r="AK20" s="17" t="e">
        <v>#VALUE!</v>
      </c>
    </row>
    <row r="21" spans="1:37" ht="19.2" customHeight="1" x14ac:dyDescent="0.45">
      <c r="A21" s="12" t="s">
        <v>144</v>
      </c>
      <c r="B21" s="51" t="s">
        <v>142</v>
      </c>
      <c r="C21" s="51"/>
      <c r="D21" s="51"/>
      <c r="E21" s="51"/>
      <c r="F21" s="34"/>
      <c r="G21" s="34"/>
      <c r="H21" s="51"/>
      <c r="I21" s="51"/>
      <c r="J21" s="51"/>
      <c r="K21" s="51"/>
      <c r="L21" s="51"/>
      <c r="M21" s="34"/>
      <c r="N21" s="34"/>
      <c r="O21" s="51"/>
      <c r="P21" s="51"/>
      <c r="Q21" s="51"/>
      <c r="R21" s="51"/>
      <c r="S21" s="51"/>
      <c r="T21" s="34"/>
      <c r="U21" s="34"/>
      <c r="V21" s="51"/>
      <c r="W21" s="51"/>
      <c r="X21" s="51"/>
      <c r="Y21" s="51"/>
      <c r="Z21" s="51"/>
      <c r="AA21" s="34"/>
      <c r="AB21" s="34"/>
      <c r="AC21" s="51"/>
      <c r="AD21" s="51"/>
      <c r="AE21" s="29"/>
      <c r="AF21" s="51"/>
      <c r="AG21" s="51"/>
      <c r="AH21" s="12" t="s">
        <v>145</v>
      </c>
      <c r="AI21" s="17">
        <f>_xlfn.LET(
_xlpm._範囲, $C21:$AG21,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1" s="1">
        <v>2</v>
      </c>
      <c r="AK21" s="17" t="e">
        <v>#VALUE!</v>
      </c>
    </row>
    <row r="22" spans="1:37" ht="19.2" customHeight="1" x14ac:dyDescent="0.45">
      <c r="A22" s="12" t="s">
        <v>146</v>
      </c>
      <c r="B22" s="51" t="s">
        <v>142</v>
      </c>
      <c r="C22" s="51"/>
      <c r="D22" s="51"/>
      <c r="E22" s="51"/>
      <c r="F22" s="34"/>
      <c r="G22" s="34"/>
      <c r="H22" s="51"/>
      <c r="I22" s="51"/>
      <c r="J22" s="51"/>
      <c r="K22" s="51"/>
      <c r="L22" s="51"/>
      <c r="M22" s="34"/>
      <c r="N22" s="34"/>
      <c r="O22" s="51"/>
      <c r="P22" s="51"/>
      <c r="Q22" s="51"/>
      <c r="R22" s="51"/>
      <c r="S22" s="51"/>
      <c r="T22" s="34"/>
      <c r="U22" s="34"/>
      <c r="V22" s="51"/>
      <c r="W22" s="51"/>
      <c r="X22" s="51"/>
      <c r="Y22" s="51"/>
      <c r="Z22" s="51"/>
      <c r="AA22" s="34"/>
      <c r="AB22" s="34"/>
      <c r="AC22" s="51"/>
      <c r="AD22" s="51"/>
      <c r="AE22" s="29"/>
      <c r="AF22" s="51"/>
      <c r="AG22" s="51"/>
      <c r="AH22" s="12" t="s">
        <v>146</v>
      </c>
      <c r="AI22" s="17">
        <f>_xlfn.LET(
_xlpm._範囲, $C22:$AG22,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2" s="1">
        <v>2</v>
      </c>
      <c r="AK22" s="17" t="e">
        <v>#VALUE!</v>
      </c>
    </row>
    <row r="23" spans="1:37" ht="19.2" customHeight="1" x14ac:dyDescent="0.45">
      <c r="A23" s="12" t="s">
        <v>147</v>
      </c>
      <c r="B23" s="51" t="s">
        <v>142</v>
      </c>
      <c r="C23" s="51"/>
      <c r="D23" s="51"/>
      <c r="E23" s="51"/>
      <c r="F23" s="34"/>
      <c r="G23" s="34"/>
      <c r="H23" s="51"/>
      <c r="I23" s="51"/>
      <c r="J23" s="51"/>
      <c r="K23" s="51"/>
      <c r="L23" s="51"/>
      <c r="M23" s="34"/>
      <c r="N23" s="34"/>
      <c r="O23" s="51"/>
      <c r="P23" s="51"/>
      <c r="Q23" s="51"/>
      <c r="R23" s="51"/>
      <c r="S23" s="51"/>
      <c r="T23" s="34"/>
      <c r="U23" s="34"/>
      <c r="V23" s="51"/>
      <c r="W23" s="51"/>
      <c r="X23" s="51"/>
      <c r="Y23" s="51"/>
      <c r="Z23" s="51"/>
      <c r="AA23" s="34"/>
      <c r="AB23" s="34"/>
      <c r="AC23" s="51"/>
      <c r="AD23" s="51"/>
      <c r="AE23" s="29"/>
      <c r="AF23" s="51"/>
      <c r="AG23" s="51"/>
      <c r="AH23" s="12" t="s">
        <v>147</v>
      </c>
      <c r="AI23" s="17">
        <f>_xlfn.LET(
_xlpm._範囲, $C23:$AG23,
_xlpm._通常年休数, COUNTIF(_xlpm._範囲, "~*"),
_xlpm._その他休み数,
COUNTIF(_xlpm._範囲, "前休") * (3.5/7.45) +
COUNTIF(_xlpm._範囲, "後休") * (4.15/7.45) +
COUNTIF(_xlpm._範囲, "講習") +
COUNTIF(_xlpm._範囲, "欠")+
COUNTIF(_xlpm._範囲, "早") * (4.15/7.45) +
COUNTIF(_xlpm._範囲, "遅") * (3.5/7.45) +
COUNTIF(_xlpm._範囲, "国"),
($AI$4- (_xlpm._通常年休数+_xlpm._その他休み数))*
7.45)</f>
        <v>156.45000000000002</v>
      </c>
      <c r="AJ23" s="1">
        <v>2</v>
      </c>
      <c r="AK23" s="17" t="e">
        <v>#VALUE!</v>
      </c>
    </row>
    <row r="24" spans="1:37" ht="19.2" customHeight="1" x14ac:dyDescent="0.45">
      <c r="A24" s="1"/>
      <c r="B24" s="1"/>
      <c r="C24" s="51"/>
      <c r="D24" s="51"/>
      <c r="E24" s="51"/>
      <c r="F24" s="34"/>
      <c r="G24" s="34"/>
      <c r="H24" s="51"/>
      <c r="I24" s="51"/>
      <c r="J24" s="51"/>
      <c r="K24" s="51"/>
      <c r="L24" s="51"/>
      <c r="M24" s="34"/>
      <c r="N24" s="34"/>
      <c r="O24" s="51"/>
      <c r="P24" s="51"/>
      <c r="Q24" s="51"/>
      <c r="R24" s="51"/>
      <c r="S24" s="51"/>
      <c r="T24" s="34"/>
      <c r="U24" s="34"/>
      <c r="V24" s="51"/>
      <c r="W24" s="51"/>
      <c r="X24" s="51"/>
      <c r="Y24" s="51"/>
      <c r="Z24" s="51"/>
      <c r="AA24" s="34"/>
      <c r="AB24" s="34"/>
      <c r="AC24" s="51"/>
      <c r="AD24" s="51"/>
      <c r="AE24" s="29"/>
      <c r="AF24" s="51"/>
      <c r="AG24" s="51"/>
      <c r="AH24" s="1"/>
      <c r="AI24" s="1"/>
      <c r="AJ24" s="1"/>
      <c r="AK24" s="1"/>
    </row>
    <row r="25" spans="1:37" ht="19.2" customHeight="1" x14ac:dyDescent="0.45">
      <c r="A25" s="12"/>
      <c r="B25" s="51"/>
      <c r="C25" s="51"/>
      <c r="D25" s="51"/>
      <c r="E25" s="51"/>
      <c r="F25" s="34"/>
      <c r="G25" s="34"/>
      <c r="H25" s="51"/>
      <c r="I25" s="51"/>
      <c r="J25" s="51"/>
      <c r="K25" s="51"/>
      <c r="L25" s="51"/>
      <c r="M25" s="34"/>
      <c r="N25" s="34"/>
      <c r="O25" s="51"/>
      <c r="P25" s="51"/>
      <c r="Q25" s="51"/>
      <c r="R25" s="51"/>
      <c r="S25" s="51"/>
      <c r="T25" s="34"/>
      <c r="U25" s="34"/>
      <c r="V25" s="51"/>
      <c r="W25" s="51"/>
      <c r="X25" s="51"/>
      <c r="Y25" s="51"/>
      <c r="Z25" s="51"/>
      <c r="AA25" s="34"/>
      <c r="AB25" s="34"/>
      <c r="AC25" s="51"/>
      <c r="AD25" s="51"/>
      <c r="AE25" s="29"/>
      <c r="AF25" s="51"/>
      <c r="AG25" s="51"/>
      <c r="AH25" s="12"/>
      <c r="AI25" s="1">
        <f>_xlfn.LET(
    _xlpm._範囲, $C25:$AG25,
    _xlpm._交差日数,
        COUNTIF(_xlpm._範囲, "湖"),
    _xlpm._交差日数*7.45
)</f>
        <v>0</v>
      </c>
      <c r="AJ25" s="1">
        <v>1</v>
      </c>
      <c r="AK25" s="1"/>
    </row>
    <row r="26" spans="1:37" ht="19.2" customHeight="1" x14ac:dyDescent="0.45">
      <c r="A26" s="12" t="s">
        <v>148</v>
      </c>
      <c r="B26" s="51" t="s">
        <v>120</v>
      </c>
      <c r="C26" s="51"/>
      <c r="D26" s="51"/>
      <c r="E26" s="51"/>
      <c r="F26" s="34"/>
      <c r="G26" s="34"/>
      <c r="H26" s="51"/>
      <c r="I26" s="51"/>
      <c r="J26" s="51"/>
      <c r="K26" s="51"/>
      <c r="L26" s="51"/>
      <c r="M26" s="34"/>
      <c r="N26" s="34"/>
      <c r="O26" s="51"/>
      <c r="P26" s="51"/>
      <c r="Q26" s="51"/>
      <c r="R26" s="51"/>
      <c r="S26" s="51"/>
      <c r="T26" s="34"/>
      <c r="U26" s="34"/>
      <c r="V26" s="51"/>
      <c r="W26" s="51"/>
      <c r="X26" s="51"/>
      <c r="Y26" s="51"/>
      <c r="Z26" s="51"/>
      <c r="AA26" s="34"/>
      <c r="AB26" s="34"/>
      <c r="AC26" s="51"/>
      <c r="AD26" s="51"/>
      <c r="AE26" s="29"/>
      <c r="AF26" s="51"/>
      <c r="AG26" s="51"/>
      <c r="AH26" s="12" t="s">
        <v>148</v>
      </c>
      <c r="AI26" s="1">
        <f>_xlfn.LET(
    _xlpm._範囲, $C26:$AG26,
    _xlpm._交差日数,
        COUNTIF(_xlpm._範囲, "湖"),
    _xlpm._交差日数*7.45
)</f>
        <v>0</v>
      </c>
      <c r="AJ26" s="1">
        <v>1</v>
      </c>
      <c r="AK26" s="1"/>
    </row>
    <row r="27" spans="1:37" ht="19.2" customHeight="1" x14ac:dyDescent="0.45">
      <c r="AH27" s="18" t="s">
        <v>149</v>
      </c>
      <c r="AI27" s="1" t="e">
        <f>SUM(AI28:AI30)</f>
        <v>#VALUE!</v>
      </c>
    </row>
    <row r="28" spans="1:37" ht="19.2" customHeight="1" x14ac:dyDescent="0.45">
      <c r="AH28" s="18" t="s">
        <v>150</v>
      </c>
      <c r="AI28" s="1" t="e">
        <f t="array" ref="AI28">_xlfn.LET(
    _xlpm._分類,$AJ$1:$AJ$26,
    _xlpm._工数,$AI$1:$AI$26,
    SUM(
        _xlfn._xlws.FILTER(_xlpm._工数,
            _xlpm._分類 = 1)
    )+AK28
)</f>
        <v>#VALUE!</v>
      </c>
      <c r="AK28" s="1" t="e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 x14ac:dyDescent="0.45">
      <c r="AH29" s="18" t="s">
        <v>142</v>
      </c>
      <c r="AI29" s="1" t="e">
        <f t="array" ref="AI29">_xlfn.LET(
    _xlpm._分類,$AJ$1:$AJ$26,
    _xlpm._工数,$AI$1:$AI$26,
    SUM(
        _xlfn._xlws.FILTER(_xlpm._工数,
            _xlpm._分類 = 2)
    )+AK29
)</f>
        <v>#VALUE!</v>
      </c>
      <c r="AK29" s="1" t="e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 x14ac:dyDescent="0.45">
      <c r="AH30" s="18" t="s">
        <v>151</v>
      </c>
      <c r="AI30" s="1" t="e">
        <f t="array" ref="AI30">_xlfn.LET(
    _xlpm._分類,$AJ$1:$AJ$26,
    _xlpm._工数,$AI$1:$AI$26,
    SUM(
        _xlfn._xlws.FILTER(_xlpm._工数,
            _xlpm._分類 = 0)
    )+AK30
)</f>
        <v>#VALUE!</v>
      </c>
      <c r="AK30" s="1" t="e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 x14ac:dyDescent="0.45">
      <c r="AJ31" s="1" t="s">
        <v>152</v>
      </c>
      <c r="AK31" s="1" t="e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62"/>
  <sheetViews>
    <sheetView workbookViewId="0">
      <selection activeCell="L14" sqref="L14"/>
    </sheetView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0.5</v>
      </c>
      <c r="H6">
        <v>1</v>
      </c>
      <c r="I6" t="s">
        <v>136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0.5</v>
      </c>
      <c r="H10">
        <v>1</v>
      </c>
      <c r="I10" t="s">
        <v>136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0.5</v>
      </c>
      <c r="H18">
        <v>1</v>
      </c>
      <c r="I18" t="s">
        <v>136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activeCell="E22" sqref="E22"/>
    </sheetView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H5">
        <v>1</v>
      </c>
      <c r="I5" t="s">
        <v>118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62"/>
  <sheetViews>
    <sheetView workbookViewId="0">
      <selection activeCell="F41" sqref="F41"/>
    </sheetView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H13">
        <v>1</v>
      </c>
      <c r="I13" t="s">
        <v>118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0.53125</v>
      </c>
      <c r="C19" s="23">
        <v>0.70833333333333337</v>
      </c>
      <c r="F19" s="23">
        <v>0.61458333333333337</v>
      </c>
      <c r="G19" s="23">
        <v>0.625</v>
      </c>
      <c r="H19">
        <v>1</v>
      </c>
      <c r="I19" t="s">
        <v>140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0.53125</v>
      </c>
      <c r="C38" s="23">
        <v>0.70833333333333337</v>
      </c>
      <c r="F38" s="23">
        <v>0.61458333333333337</v>
      </c>
      <c r="G38" s="23">
        <v>0.625</v>
      </c>
      <c r="H38">
        <v>1</v>
      </c>
      <c r="I38" t="s">
        <v>140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0.53125</v>
      </c>
      <c r="C47" s="23">
        <v>0.70833333333333337</v>
      </c>
      <c r="F47" s="23">
        <v>0.61458333333333337</v>
      </c>
      <c r="G47" s="23">
        <v>0.625</v>
      </c>
      <c r="H47">
        <v>1</v>
      </c>
      <c r="I47" t="s">
        <v>140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62"/>
  <sheetViews>
    <sheetView workbookViewId="0">
      <selection activeCell="C1" sqref="C1:C1048576"/>
    </sheetView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H7">
        <v>1</v>
      </c>
      <c r="I7" t="s">
        <v>118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H40">
        <v>1</v>
      </c>
      <c r="I40" t="s">
        <v>118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62"/>
  <sheetViews>
    <sheetView workbookViewId="0">
      <selection activeCell="C1" sqref="C1:C1048576"/>
    </sheetView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H12">
        <v>1</v>
      </c>
      <c r="I12" t="s">
        <v>118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62"/>
  <sheetViews>
    <sheetView workbookViewId="0">
      <selection activeCell="J6" sqref="J6"/>
    </sheetView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H7">
        <v>1</v>
      </c>
      <c r="I7" t="s">
        <v>118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0.5</v>
      </c>
      <c r="H10">
        <v>1</v>
      </c>
      <c r="I10" t="s">
        <v>136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H17">
        <v>1</v>
      </c>
      <c r="I17" t="s">
        <v>118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H20">
        <v>1</v>
      </c>
      <c r="I20" t="s">
        <v>118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0.5</v>
      </c>
      <c r="H38">
        <v>1</v>
      </c>
      <c r="I38" t="s">
        <v>136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H40">
        <v>1</v>
      </c>
      <c r="I40" t="s">
        <v>118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H14">
        <v>1</v>
      </c>
      <c r="I14" t="s">
        <v>118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H17">
        <v>1</v>
      </c>
      <c r="I17" t="s">
        <v>118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8" width="8.59765625" bestFit="1" customWidth="1"/>
    <col min="9" max="9" width="10.398437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177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177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177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177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177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0.5</v>
      </c>
      <c r="H27">
        <v>1</v>
      </c>
      <c r="I27" t="s">
        <v>136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0.5</v>
      </c>
      <c r="H11">
        <v>1</v>
      </c>
      <c r="I11" t="s">
        <v>136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H28">
        <v>1</v>
      </c>
      <c r="I28" t="s">
        <v>118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H12">
        <v>1</v>
      </c>
      <c r="I12" t="s">
        <v>118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H35">
        <v>1</v>
      </c>
      <c r="I35" t="s">
        <v>118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H21">
        <v>1</v>
      </c>
      <c r="I21" t="s">
        <v>118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0.5</v>
      </c>
      <c r="H25">
        <v>1</v>
      </c>
      <c r="I25" t="s">
        <v>136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62"/>
  <sheetViews>
    <sheetView workbookViewId="0"/>
  </sheetViews>
  <sheetFormatPr defaultRowHeight="18" x14ac:dyDescent="0.45"/>
  <cols>
    <col min="1" max="1" width="11.296875" style="21" bestFit="1" customWidth="1"/>
    <col min="2" max="3" width="8.59765625" style="23" bestFit="1" customWidth="1"/>
    <col min="4" max="7" width="14.5" style="23" bestFit="1" customWidth="1"/>
    <col min="8" max="9" width="8.59765625" bestFit="1" customWidth="1"/>
    <col min="10" max="10" width="5" bestFit="1" customWidth="1"/>
  </cols>
  <sheetData>
    <row r="1" spans="1:10" x14ac:dyDescent="0.45">
      <c r="A1" s="20" t="s">
        <v>166</v>
      </c>
      <c r="B1" s="22" t="s">
        <v>167</v>
      </c>
      <c r="C1" s="22" t="s">
        <v>168</v>
      </c>
      <c r="D1" s="22" t="s">
        <v>169</v>
      </c>
      <c r="E1" s="22" t="s">
        <v>170</v>
      </c>
      <c r="F1" s="22" t="s">
        <v>171</v>
      </c>
      <c r="G1" s="22" t="s">
        <v>172</v>
      </c>
      <c r="H1" s="7" t="s">
        <v>173</v>
      </c>
      <c r="I1" s="7" t="s">
        <v>176</v>
      </c>
      <c r="J1" s="7" t="s">
        <v>1</v>
      </c>
    </row>
    <row r="2" spans="1:10" x14ac:dyDescent="0.45">
      <c r="A2" s="21">
        <v>46082</v>
      </c>
      <c r="H2">
        <v>1</v>
      </c>
      <c r="I2" t="s">
        <v>174</v>
      </c>
    </row>
    <row r="3" spans="1:10" x14ac:dyDescent="0.45">
      <c r="A3" s="21">
        <v>46083</v>
      </c>
      <c r="B3" s="23">
        <v>0.36458333333333331</v>
      </c>
      <c r="C3" s="23">
        <v>0.70833333333333337</v>
      </c>
      <c r="D3" s="23">
        <v>0.5</v>
      </c>
      <c r="E3" s="23">
        <v>0.53472222222222221</v>
      </c>
      <c r="F3" s="23">
        <v>0.61458333333333337</v>
      </c>
      <c r="G3" s="23">
        <v>0.625</v>
      </c>
      <c r="H3">
        <v>1</v>
      </c>
      <c r="I3" t="s">
        <v>175</v>
      </c>
    </row>
    <row r="4" spans="1:10" x14ac:dyDescent="0.45">
      <c r="A4" s="21">
        <v>46084</v>
      </c>
      <c r="B4" s="23">
        <v>0.36458333333333331</v>
      </c>
      <c r="C4" s="23">
        <v>0.70833333333333337</v>
      </c>
      <c r="D4" s="23">
        <v>0.5</v>
      </c>
      <c r="E4" s="23">
        <v>0.53472222222222221</v>
      </c>
      <c r="F4" s="23">
        <v>0.61458333333333337</v>
      </c>
      <c r="G4" s="23">
        <v>0.625</v>
      </c>
      <c r="H4">
        <v>1</v>
      </c>
      <c r="I4" t="s">
        <v>175</v>
      </c>
    </row>
    <row r="5" spans="1:10" x14ac:dyDescent="0.45">
      <c r="A5" s="21">
        <v>46085</v>
      </c>
      <c r="B5" s="23">
        <v>0.36458333333333331</v>
      </c>
      <c r="C5" s="23">
        <v>0.70833333333333337</v>
      </c>
      <c r="D5" s="23">
        <v>0.5</v>
      </c>
      <c r="E5" s="23">
        <v>0.53472222222222221</v>
      </c>
      <c r="F5" s="23">
        <v>0.61458333333333337</v>
      </c>
      <c r="G5" s="23">
        <v>0.625</v>
      </c>
      <c r="H5">
        <v>1</v>
      </c>
      <c r="I5" t="s">
        <v>175</v>
      </c>
    </row>
    <row r="6" spans="1:10" x14ac:dyDescent="0.45">
      <c r="A6" s="21">
        <v>46086</v>
      </c>
      <c r="B6" s="23">
        <v>0.36458333333333331</v>
      </c>
      <c r="C6" s="23">
        <v>0.70833333333333337</v>
      </c>
      <c r="D6" s="23">
        <v>0.5</v>
      </c>
      <c r="E6" s="23">
        <v>0.53472222222222221</v>
      </c>
      <c r="F6" s="23">
        <v>0.61458333333333337</v>
      </c>
      <c r="G6" s="23">
        <v>0.625</v>
      </c>
      <c r="H6">
        <v>1</v>
      </c>
      <c r="I6" t="s">
        <v>175</v>
      </c>
    </row>
    <row r="7" spans="1:10" x14ac:dyDescent="0.45">
      <c r="A7" s="21">
        <v>46087</v>
      </c>
      <c r="B7" s="23">
        <v>0.36458333333333331</v>
      </c>
      <c r="C7" s="23">
        <v>0.70833333333333337</v>
      </c>
      <c r="D7" s="23">
        <v>0.5</v>
      </c>
      <c r="E7" s="23">
        <v>0.53472222222222221</v>
      </c>
      <c r="F7" s="23">
        <v>0.61458333333333337</v>
      </c>
      <c r="G7" s="23">
        <v>0.625</v>
      </c>
      <c r="H7">
        <v>1</v>
      </c>
      <c r="I7" t="s">
        <v>175</v>
      </c>
    </row>
    <row r="8" spans="1:10" x14ac:dyDescent="0.45">
      <c r="A8" s="21">
        <v>46088</v>
      </c>
      <c r="H8">
        <v>1</v>
      </c>
      <c r="I8" t="s">
        <v>174</v>
      </c>
    </row>
    <row r="9" spans="1:10" x14ac:dyDescent="0.45">
      <c r="A9" s="21">
        <v>46089</v>
      </c>
      <c r="H9">
        <v>1</v>
      </c>
      <c r="I9" t="s">
        <v>174</v>
      </c>
    </row>
    <row r="10" spans="1:10" x14ac:dyDescent="0.45">
      <c r="A10" s="21">
        <v>46090</v>
      </c>
      <c r="B10" s="23">
        <v>0.36458333333333331</v>
      </c>
      <c r="C10" s="23">
        <v>0.70833333333333337</v>
      </c>
      <c r="D10" s="23">
        <v>0.5</v>
      </c>
      <c r="E10" s="23">
        <v>0.53472222222222221</v>
      </c>
      <c r="F10" s="23">
        <v>0.61458333333333337</v>
      </c>
      <c r="G10" s="23">
        <v>0.625</v>
      </c>
      <c r="H10">
        <v>1</v>
      </c>
      <c r="I10" t="s">
        <v>175</v>
      </c>
    </row>
    <row r="11" spans="1:10" x14ac:dyDescent="0.45">
      <c r="A11" s="21">
        <v>46091</v>
      </c>
      <c r="B11" s="23">
        <v>0.36458333333333331</v>
      </c>
      <c r="C11" s="23">
        <v>0.70833333333333337</v>
      </c>
      <c r="D11" s="23">
        <v>0.5</v>
      </c>
      <c r="E11" s="23">
        <v>0.53472222222222221</v>
      </c>
      <c r="F11" s="23">
        <v>0.61458333333333337</v>
      </c>
      <c r="G11" s="23">
        <v>0.625</v>
      </c>
      <c r="H11">
        <v>1</v>
      </c>
      <c r="I11" t="s">
        <v>175</v>
      </c>
    </row>
    <row r="12" spans="1:10" x14ac:dyDescent="0.45">
      <c r="A12" s="21">
        <v>46092</v>
      </c>
      <c r="B12" s="23">
        <v>0.36458333333333331</v>
      </c>
      <c r="C12" s="23">
        <v>0.70833333333333337</v>
      </c>
      <c r="D12" s="23">
        <v>0.5</v>
      </c>
      <c r="E12" s="23">
        <v>0.53472222222222221</v>
      </c>
      <c r="F12" s="23">
        <v>0.61458333333333337</v>
      </c>
      <c r="G12" s="23">
        <v>0.625</v>
      </c>
      <c r="H12">
        <v>1</v>
      </c>
      <c r="I12" t="s">
        <v>175</v>
      </c>
    </row>
    <row r="13" spans="1:10" x14ac:dyDescent="0.45">
      <c r="A13" s="21">
        <v>46093</v>
      </c>
      <c r="B13" s="23">
        <v>0.36458333333333331</v>
      </c>
      <c r="C13" s="23">
        <v>0.70833333333333337</v>
      </c>
      <c r="D13" s="23">
        <v>0.5</v>
      </c>
      <c r="E13" s="23">
        <v>0.53472222222222221</v>
      </c>
      <c r="F13" s="23">
        <v>0.61458333333333337</v>
      </c>
      <c r="G13" s="23">
        <v>0.625</v>
      </c>
      <c r="H13">
        <v>1</v>
      </c>
      <c r="I13" t="s">
        <v>175</v>
      </c>
    </row>
    <row r="14" spans="1:10" x14ac:dyDescent="0.45">
      <c r="A14" s="21">
        <v>46094</v>
      </c>
      <c r="B14" s="23">
        <v>0.36458333333333331</v>
      </c>
      <c r="C14" s="23">
        <v>0.70833333333333337</v>
      </c>
      <c r="D14" s="23">
        <v>0.5</v>
      </c>
      <c r="E14" s="23">
        <v>0.53472222222222221</v>
      </c>
      <c r="F14" s="23">
        <v>0.61458333333333337</v>
      </c>
      <c r="G14" s="23">
        <v>0.625</v>
      </c>
      <c r="H14">
        <v>1</v>
      </c>
      <c r="I14" t="s">
        <v>175</v>
      </c>
    </row>
    <row r="15" spans="1:10" x14ac:dyDescent="0.45">
      <c r="A15" s="21">
        <v>46095</v>
      </c>
      <c r="H15">
        <v>1</v>
      </c>
      <c r="I15" t="s">
        <v>174</v>
      </c>
    </row>
    <row r="16" spans="1:10" x14ac:dyDescent="0.45">
      <c r="A16" s="21">
        <v>46096</v>
      </c>
      <c r="H16">
        <v>1</v>
      </c>
      <c r="I16" t="s">
        <v>174</v>
      </c>
    </row>
    <row r="17" spans="1:9" x14ac:dyDescent="0.45">
      <c r="A17" s="21">
        <v>46097</v>
      </c>
      <c r="B17" s="23">
        <v>0.36458333333333331</v>
      </c>
      <c r="C17" s="23">
        <v>0.70833333333333337</v>
      </c>
      <c r="D17" s="23">
        <v>0.5</v>
      </c>
      <c r="E17" s="23">
        <v>0.53472222222222221</v>
      </c>
      <c r="F17" s="23">
        <v>0.61458333333333337</v>
      </c>
      <c r="G17" s="23">
        <v>0.625</v>
      </c>
      <c r="H17">
        <v>1</v>
      </c>
      <c r="I17" t="s">
        <v>175</v>
      </c>
    </row>
    <row r="18" spans="1:9" x14ac:dyDescent="0.45">
      <c r="A18" s="21">
        <v>46098</v>
      </c>
      <c r="B18" s="23">
        <v>0.36458333333333331</v>
      </c>
      <c r="C18" s="23">
        <v>0.70833333333333337</v>
      </c>
      <c r="D18" s="23">
        <v>0.5</v>
      </c>
      <c r="E18" s="23">
        <v>0.53472222222222221</v>
      </c>
      <c r="F18" s="23">
        <v>0.61458333333333337</v>
      </c>
      <c r="G18" s="23">
        <v>0.625</v>
      </c>
      <c r="H18">
        <v>1</v>
      </c>
      <c r="I18" t="s">
        <v>175</v>
      </c>
    </row>
    <row r="19" spans="1:9" x14ac:dyDescent="0.45">
      <c r="A19" s="21">
        <v>46099</v>
      </c>
      <c r="B19" s="23">
        <v>0.36458333333333331</v>
      </c>
      <c r="C19" s="23">
        <v>0.70833333333333337</v>
      </c>
      <c r="D19" s="23">
        <v>0.5</v>
      </c>
      <c r="E19" s="23">
        <v>0.53472222222222221</v>
      </c>
      <c r="F19" s="23">
        <v>0.61458333333333337</v>
      </c>
      <c r="G19" s="23">
        <v>0.625</v>
      </c>
      <c r="H19">
        <v>1</v>
      </c>
      <c r="I19" t="s">
        <v>175</v>
      </c>
    </row>
    <row r="20" spans="1:9" x14ac:dyDescent="0.45">
      <c r="A20" s="21">
        <v>46100</v>
      </c>
      <c r="B20" s="23">
        <v>0.36458333333333331</v>
      </c>
      <c r="C20" s="23">
        <v>0.70833333333333337</v>
      </c>
      <c r="D20" s="23">
        <v>0.5</v>
      </c>
      <c r="E20" s="23">
        <v>0.53472222222222221</v>
      </c>
      <c r="F20" s="23">
        <v>0.61458333333333337</v>
      </c>
      <c r="G20" s="23">
        <v>0.625</v>
      </c>
      <c r="H20">
        <v>1</v>
      </c>
      <c r="I20" t="s">
        <v>175</v>
      </c>
    </row>
    <row r="21" spans="1:9" x14ac:dyDescent="0.45">
      <c r="A21" s="21">
        <v>46101</v>
      </c>
      <c r="B21" s="23">
        <v>0.36458333333333331</v>
      </c>
      <c r="C21" s="23">
        <v>0.70833333333333337</v>
      </c>
      <c r="D21" s="23">
        <v>0.5</v>
      </c>
      <c r="E21" s="23">
        <v>0.53472222222222221</v>
      </c>
      <c r="F21" s="23">
        <v>0.61458333333333337</v>
      </c>
      <c r="G21" s="23">
        <v>0.625</v>
      </c>
      <c r="H21">
        <v>1</v>
      </c>
      <c r="I21" t="s">
        <v>175</v>
      </c>
    </row>
    <row r="22" spans="1:9" x14ac:dyDescent="0.45">
      <c r="A22" s="21">
        <v>46102</v>
      </c>
      <c r="H22">
        <v>1</v>
      </c>
      <c r="I22" t="s">
        <v>174</v>
      </c>
    </row>
    <row r="23" spans="1:9" x14ac:dyDescent="0.45">
      <c r="A23" s="21">
        <v>46103</v>
      </c>
      <c r="H23">
        <v>1</v>
      </c>
      <c r="I23" t="s">
        <v>174</v>
      </c>
    </row>
    <row r="24" spans="1:9" x14ac:dyDescent="0.45">
      <c r="A24" s="21">
        <v>46104</v>
      </c>
      <c r="B24" s="23">
        <v>0.36458333333333331</v>
      </c>
      <c r="C24" s="23">
        <v>0.70833333333333337</v>
      </c>
      <c r="D24" s="23">
        <v>0.5</v>
      </c>
      <c r="E24" s="23">
        <v>0.53472222222222221</v>
      </c>
      <c r="F24" s="23">
        <v>0.61458333333333337</v>
      </c>
      <c r="G24" s="23">
        <v>0.625</v>
      </c>
      <c r="H24">
        <v>1</v>
      </c>
      <c r="I24" t="s">
        <v>175</v>
      </c>
    </row>
    <row r="25" spans="1:9" x14ac:dyDescent="0.45">
      <c r="A25" s="21">
        <v>46105</v>
      </c>
      <c r="B25" s="23">
        <v>0.36458333333333331</v>
      </c>
      <c r="C25" s="23">
        <v>0.70833333333333337</v>
      </c>
      <c r="D25" s="23">
        <v>0.5</v>
      </c>
      <c r="E25" s="23">
        <v>0.53472222222222221</v>
      </c>
      <c r="F25" s="23">
        <v>0.61458333333333337</v>
      </c>
      <c r="G25" s="23">
        <v>0.625</v>
      </c>
      <c r="H25">
        <v>1</v>
      </c>
      <c r="I25" t="s">
        <v>175</v>
      </c>
    </row>
    <row r="26" spans="1:9" x14ac:dyDescent="0.45">
      <c r="A26" s="21">
        <v>46106</v>
      </c>
      <c r="B26" s="23">
        <v>0.36458333333333331</v>
      </c>
      <c r="C26" s="23">
        <v>0.70833333333333337</v>
      </c>
      <c r="D26" s="23">
        <v>0.5</v>
      </c>
      <c r="E26" s="23">
        <v>0.53472222222222221</v>
      </c>
      <c r="F26" s="23">
        <v>0.61458333333333337</v>
      </c>
      <c r="G26" s="23">
        <v>0.625</v>
      </c>
      <c r="H26">
        <v>1</v>
      </c>
      <c r="I26" t="s">
        <v>175</v>
      </c>
    </row>
    <row r="27" spans="1:9" x14ac:dyDescent="0.45">
      <c r="A27" s="21">
        <v>46107</v>
      </c>
      <c r="B27" s="23">
        <v>0.36458333333333331</v>
      </c>
      <c r="C27" s="23">
        <v>0.70833333333333337</v>
      </c>
      <c r="D27" s="23">
        <v>0.5</v>
      </c>
      <c r="E27" s="23">
        <v>0.53472222222222221</v>
      </c>
      <c r="F27" s="23">
        <v>0.61458333333333337</v>
      </c>
      <c r="G27" s="23">
        <v>0.625</v>
      </c>
      <c r="H27">
        <v>1</v>
      </c>
      <c r="I27" t="s">
        <v>175</v>
      </c>
    </row>
    <row r="28" spans="1:9" x14ac:dyDescent="0.45">
      <c r="A28" s="21">
        <v>46108</v>
      </c>
      <c r="B28" s="23">
        <v>0.36458333333333331</v>
      </c>
      <c r="C28" s="23">
        <v>0.70833333333333337</v>
      </c>
      <c r="D28" s="23">
        <v>0.5</v>
      </c>
      <c r="E28" s="23">
        <v>0.53472222222222221</v>
      </c>
      <c r="F28" s="23">
        <v>0.61458333333333337</v>
      </c>
      <c r="G28" s="23">
        <v>0.625</v>
      </c>
      <c r="H28">
        <v>1</v>
      </c>
      <c r="I28" t="s">
        <v>175</v>
      </c>
    </row>
    <row r="29" spans="1:9" x14ac:dyDescent="0.45">
      <c r="A29" s="21">
        <v>46109</v>
      </c>
      <c r="H29">
        <v>1</v>
      </c>
      <c r="I29" t="s">
        <v>174</v>
      </c>
    </row>
    <row r="30" spans="1:9" x14ac:dyDescent="0.45">
      <c r="A30" s="21">
        <v>46110</v>
      </c>
      <c r="H30">
        <v>1</v>
      </c>
      <c r="I30" t="s">
        <v>174</v>
      </c>
    </row>
    <row r="31" spans="1:9" x14ac:dyDescent="0.45">
      <c r="A31" s="21">
        <v>46111</v>
      </c>
      <c r="B31" s="23">
        <v>0.36458333333333331</v>
      </c>
      <c r="C31" s="23">
        <v>0.70833333333333337</v>
      </c>
      <c r="D31" s="23">
        <v>0.5</v>
      </c>
      <c r="E31" s="23">
        <v>0.53472222222222221</v>
      </c>
      <c r="F31" s="23">
        <v>0.61458333333333337</v>
      </c>
      <c r="G31" s="23">
        <v>0.625</v>
      </c>
      <c r="H31">
        <v>1</v>
      </c>
      <c r="I31" t="s">
        <v>175</v>
      </c>
    </row>
    <row r="32" spans="1:9" x14ac:dyDescent="0.45">
      <c r="A32" s="21">
        <v>46112</v>
      </c>
      <c r="B32" s="23">
        <v>0.36458333333333331</v>
      </c>
      <c r="C32" s="23">
        <v>0.70833333333333337</v>
      </c>
      <c r="D32" s="23">
        <v>0.5</v>
      </c>
      <c r="E32" s="23">
        <v>0.53472222222222221</v>
      </c>
      <c r="F32" s="23">
        <v>0.61458333333333337</v>
      </c>
      <c r="G32" s="23">
        <v>0.625</v>
      </c>
      <c r="H32">
        <v>1</v>
      </c>
      <c r="I32" t="s">
        <v>175</v>
      </c>
    </row>
    <row r="33" spans="1:9" x14ac:dyDescent="0.45">
      <c r="A33" s="21">
        <v>46113</v>
      </c>
      <c r="B33" s="23">
        <v>0.36458333333333331</v>
      </c>
      <c r="C33" s="23">
        <v>0.70833333333333337</v>
      </c>
      <c r="D33" s="23">
        <v>0.5</v>
      </c>
      <c r="E33" s="23">
        <v>0.53472222222222221</v>
      </c>
      <c r="F33" s="23">
        <v>0.61458333333333337</v>
      </c>
      <c r="G33" s="23">
        <v>0.625</v>
      </c>
      <c r="H33">
        <v>1</v>
      </c>
      <c r="I33" t="s">
        <v>175</v>
      </c>
    </row>
    <row r="34" spans="1:9" x14ac:dyDescent="0.45">
      <c r="A34" s="21">
        <v>46114</v>
      </c>
      <c r="B34" s="23">
        <v>0.36458333333333331</v>
      </c>
      <c r="C34" s="23">
        <v>0.70833333333333337</v>
      </c>
      <c r="D34" s="23">
        <v>0.5</v>
      </c>
      <c r="E34" s="23">
        <v>0.53472222222222221</v>
      </c>
      <c r="F34" s="23">
        <v>0.61458333333333337</v>
      </c>
      <c r="G34" s="23">
        <v>0.625</v>
      </c>
      <c r="H34">
        <v>1</v>
      </c>
      <c r="I34" t="s">
        <v>175</v>
      </c>
    </row>
    <row r="35" spans="1:9" x14ac:dyDescent="0.45">
      <c r="A35" s="21">
        <v>46115</v>
      </c>
      <c r="B35" s="23">
        <v>0.36458333333333331</v>
      </c>
      <c r="C35" s="23">
        <v>0.70833333333333337</v>
      </c>
      <c r="D35" s="23">
        <v>0.5</v>
      </c>
      <c r="E35" s="23">
        <v>0.53472222222222221</v>
      </c>
      <c r="F35" s="23">
        <v>0.61458333333333337</v>
      </c>
      <c r="G35" s="23">
        <v>0.625</v>
      </c>
      <c r="H35">
        <v>1</v>
      </c>
      <c r="I35" t="s">
        <v>175</v>
      </c>
    </row>
    <row r="36" spans="1:9" x14ac:dyDescent="0.45">
      <c r="A36" s="21">
        <v>46116</v>
      </c>
      <c r="H36">
        <v>1</v>
      </c>
      <c r="I36" t="s">
        <v>174</v>
      </c>
    </row>
    <row r="37" spans="1:9" x14ac:dyDescent="0.45">
      <c r="A37" s="21">
        <v>46117</v>
      </c>
      <c r="H37">
        <v>1</v>
      </c>
      <c r="I37" t="s">
        <v>174</v>
      </c>
    </row>
    <row r="38" spans="1:9" x14ac:dyDescent="0.45">
      <c r="A38" s="21">
        <v>46118</v>
      </c>
      <c r="B38" s="23">
        <v>0.36458333333333331</v>
      </c>
      <c r="C38" s="23">
        <v>0.70833333333333337</v>
      </c>
      <c r="D38" s="23">
        <v>0.5</v>
      </c>
      <c r="E38" s="23">
        <v>0.53472222222222221</v>
      </c>
      <c r="F38" s="23">
        <v>0.61458333333333337</v>
      </c>
      <c r="G38" s="23">
        <v>0.625</v>
      </c>
      <c r="H38">
        <v>1</v>
      </c>
      <c r="I38" t="s">
        <v>175</v>
      </c>
    </row>
    <row r="39" spans="1:9" x14ac:dyDescent="0.45">
      <c r="A39" s="21">
        <v>46119</v>
      </c>
      <c r="B39" s="23">
        <v>0.36458333333333331</v>
      </c>
      <c r="C39" s="23">
        <v>0.70833333333333337</v>
      </c>
      <c r="D39" s="23">
        <v>0.5</v>
      </c>
      <c r="E39" s="23">
        <v>0.53472222222222221</v>
      </c>
      <c r="F39" s="23">
        <v>0.61458333333333337</v>
      </c>
      <c r="G39" s="23">
        <v>0.625</v>
      </c>
      <c r="H39">
        <v>1</v>
      </c>
      <c r="I39" t="s">
        <v>175</v>
      </c>
    </row>
    <row r="40" spans="1:9" x14ac:dyDescent="0.45">
      <c r="A40" s="21">
        <v>46120</v>
      </c>
      <c r="B40" s="23">
        <v>0.36458333333333331</v>
      </c>
      <c r="C40" s="23">
        <v>0.70833333333333337</v>
      </c>
      <c r="D40" s="23">
        <v>0.5</v>
      </c>
      <c r="E40" s="23">
        <v>0.53472222222222221</v>
      </c>
      <c r="F40" s="23">
        <v>0.61458333333333337</v>
      </c>
      <c r="G40" s="23">
        <v>0.625</v>
      </c>
      <c r="H40">
        <v>1</v>
      </c>
      <c r="I40" t="s">
        <v>175</v>
      </c>
    </row>
    <row r="41" spans="1:9" x14ac:dyDescent="0.45">
      <c r="A41" s="21">
        <v>46121</v>
      </c>
      <c r="B41" s="23">
        <v>0.36458333333333331</v>
      </c>
      <c r="C41" s="23">
        <v>0.70833333333333337</v>
      </c>
      <c r="D41" s="23">
        <v>0.5</v>
      </c>
      <c r="E41" s="23">
        <v>0.53472222222222221</v>
      </c>
      <c r="F41" s="23">
        <v>0.61458333333333337</v>
      </c>
      <c r="G41" s="23">
        <v>0.625</v>
      </c>
      <c r="H41">
        <v>1</v>
      </c>
      <c r="I41" t="s">
        <v>175</v>
      </c>
    </row>
    <row r="42" spans="1:9" x14ac:dyDescent="0.45">
      <c r="A42" s="21">
        <v>46122</v>
      </c>
      <c r="B42" s="23">
        <v>0.36458333333333331</v>
      </c>
      <c r="C42" s="23">
        <v>0.70833333333333337</v>
      </c>
      <c r="D42" s="23">
        <v>0.5</v>
      </c>
      <c r="E42" s="23">
        <v>0.53472222222222221</v>
      </c>
      <c r="F42" s="23">
        <v>0.61458333333333337</v>
      </c>
      <c r="G42" s="23">
        <v>0.625</v>
      </c>
      <c r="H42">
        <v>1</v>
      </c>
      <c r="I42" t="s">
        <v>175</v>
      </c>
    </row>
    <row r="43" spans="1:9" x14ac:dyDescent="0.45">
      <c r="A43" s="21">
        <v>46123</v>
      </c>
      <c r="H43">
        <v>1</v>
      </c>
      <c r="I43" t="s">
        <v>174</v>
      </c>
    </row>
    <row r="44" spans="1:9" x14ac:dyDescent="0.45">
      <c r="A44" s="21">
        <v>46124</v>
      </c>
      <c r="H44">
        <v>1</v>
      </c>
      <c r="I44" t="s">
        <v>174</v>
      </c>
    </row>
    <row r="45" spans="1:9" x14ac:dyDescent="0.45">
      <c r="A45" s="21">
        <v>46125</v>
      </c>
      <c r="B45" s="23">
        <v>0.36458333333333331</v>
      </c>
      <c r="C45" s="23">
        <v>0.70833333333333337</v>
      </c>
      <c r="D45" s="23">
        <v>0.5</v>
      </c>
      <c r="E45" s="23">
        <v>0.53472222222222221</v>
      </c>
      <c r="F45" s="23">
        <v>0.61458333333333337</v>
      </c>
      <c r="G45" s="23">
        <v>0.625</v>
      </c>
      <c r="H45">
        <v>1</v>
      </c>
      <c r="I45" t="s">
        <v>175</v>
      </c>
    </row>
    <row r="46" spans="1:9" x14ac:dyDescent="0.45">
      <c r="A46" s="21">
        <v>46126</v>
      </c>
      <c r="B46" s="23">
        <v>0.36458333333333331</v>
      </c>
      <c r="C46" s="23">
        <v>0.70833333333333337</v>
      </c>
      <c r="D46" s="23">
        <v>0.5</v>
      </c>
      <c r="E46" s="23">
        <v>0.53472222222222221</v>
      </c>
      <c r="F46" s="23">
        <v>0.61458333333333337</v>
      </c>
      <c r="G46" s="23">
        <v>0.625</v>
      </c>
      <c r="H46">
        <v>1</v>
      </c>
      <c r="I46" t="s">
        <v>175</v>
      </c>
    </row>
    <row r="47" spans="1:9" x14ac:dyDescent="0.45">
      <c r="A47" s="21">
        <v>46127</v>
      </c>
      <c r="B47" s="23">
        <v>0.36458333333333331</v>
      </c>
      <c r="C47" s="23">
        <v>0.70833333333333337</v>
      </c>
      <c r="D47" s="23">
        <v>0.5</v>
      </c>
      <c r="E47" s="23">
        <v>0.53472222222222221</v>
      </c>
      <c r="F47" s="23">
        <v>0.61458333333333337</v>
      </c>
      <c r="G47" s="23">
        <v>0.625</v>
      </c>
      <c r="H47">
        <v>1</v>
      </c>
      <c r="I47" t="s">
        <v>175</v>
      </c>
    </row>
    <row r="48" spans="1:9" x14ac:dyDescent="0.45">
      <c r="A48" s="21">
        <v>46128</v>
      </c>
      <c r="B48" s="23">
        <v>0.36458333333333331</v>
      </c>
      <c r="C48" s="23">
        <v>0.70833333333333337</v>
      </c>
      <c r="D48" s="23">
        <v>0.5</v>
      </c>
      <c r="E48" s="23">
        <v>0.53472222222222221</v>
      </c>
      <c r="F48" s="23">
        <v>0.61458333333333337</v>
      </c>
      <c r="G48" s="23">
        <v>0.625</v>
      </c>
      <c r="H48">
        <v>1</v>
      </c>
      <c r="I48" t="s">
        <v>175</v>
      </c>
    </row>
    <row r="49" spans="1:9" x14ac:dyDescent="0.45">
      <c r="A49" s="21">
        <v>46129</v>
      </c>
      <c r="B49" s="23">
        <v>0.36458333333333331</v>
      </c>
      <c r="C49" s="23">
        <v>0.70833333333333337</v>
      </c>
      <c r="D49" s="23">
        <v>0.5</v>
      </c>
      <c r="E49" s="23">
        <v>0.53472222222222221</v>
      </c>
      <c r="F49" s="23">
        <v>0.61458333333333337</v>
      </c>
      <c r="G49" s="23">
        <v>0.625</v>
      </c>
      <c r="H49">
        <v>1</v>
      </c>
      <c r="I49" t="s">
        <v>175</v>
      </c>
    </row>
    <row r="50" spans="1:9" x14ac:dyDescent="0.45">
      <c r="A50" s="21">
        <v>46130</v>
      </c>
      <c r="H50">
        <v>1</v>
      </c>
      <c r="I50" t="s">
        <v>174</v>
      </c>
    </row>
    <row r="51" spans="1:9" x14ac:dyDescent="0.45">
      <c r="A51" s="21">
        <v>46131</v>
      </c>
      <c r="H51">
        <v>1</v>
      </c>
      <c r="I51" t="s">
        <v>174</v>
      </c>
    </row>
    <row r="52" spans="1:9" x14ac:dyDescent="0.45">
      <c r="A52" s="21">
        <v>46132</v>
      </c>
      <c r="B52" s="23">
        <v>0.36458333333333331</v>
      </c>
      <c r="C52" s="23">
        <v>0.70833333333333337</v>
      </c>
      <c r="D52" s="23">
        <v>0.5</v>
      </c>
      <c r="E52" s="23">
        <v>0.53472222222222221</v>
      </c>
      <c r="F52" s="23">
        <v>0.61458333333333337</v>
      </c>
      <c r="G52" s="23">
        <v>0.625</v>
      </c>
      <c r="H52">
        <v>1</v>
      </c>
      <c r="I52" t="s">
        <v>175</v>
      </c>
    </row>
    <row r="53" spans="1:9" x14ac:dyDescent="0.45">
      <c r="A53" s="21">
        <v>46133</v>
      </c>
      <c r="B53" s="23">
        <v>0.36458333333333331</v>
      </c>
      <c r="C53" s="23">
        <v>0.70833333333333337</v>
      </c>
      <c r="D53" s="23">
        <v>0.5</v>
      </c>
      <c r="E53" s="23">
        <v>0.53472222222222221</v>
      </c>
      <c r="F53" s="23">
        <v>0.61458333333333337</v>
      </c>
      <c r="G53" s="23">
        <v>0.625</v>
      </c>
      <c r="H53">
        <v>1</v>
      </c>
      <c r="I53" t="s">
        <v>175</v>
      </c>
    </row>
    <row r="54" spans="1:9" x14ac:dyDescent="0.45">
      <c r="A54" s="21">
        <v>46134</v>
      </c>
      <c r="B54" s="23">
        <v>0.36458333333333331</v>
      </c>
      <c r="C54" s="23">
        <v>0.70833333333333337</v>
      </c>
      <c r="D54" s="23">
        <v>0.5</v>
      </c>
      <c r="E54" s="23">
        <v>0.53472222222222221</v>
      </c>
      <c r="F54" s="23">
        <v>0.61458333333333337</v>
      </c>
      <c r="G54" s="23">
        <v>0.625</v>
      </c>
      <c r="H54">
        <v>1</v>
      </c>
      <c r="I54" t="s">
        <v>175</v>
      </c>
    </row>
    <row r="55" spans="1:9" x14ac:dyDescent="0.45">
      <c r="A55" s="21">
        <v>46135</v>
      </c>
      <c r="B55" s="23">
        <v>0.36458333333333331</v>
      </c>
      <c r="C55" s="23">
        <v>0.70833333333333337</v>
      </c>
      <c r="D55" s="23">
        <v>0.5</v>
      </c>
      <c r="E55" s="23">
        <v>0.53472222222222221</v>
      </c>
      <c r="F55" s="23">
        <v>0.61458333333333337</v>
      </c>
      <c r="G55" s="23">
        <v>0.625</v>
      </c>
      <c r="H55">
        <v>1</v>
      </c>
      <c r="I55" t="s">
        <v>175</v>
      </c>
    </row>
    <row r="56" spans="1:9" x14ac:dyDescent="0.45">
      <c r="A56" s="21">
        <v>46136</v>
      </c>
      <c r="B56" s="23">
        <v>0.36458333333333331</v>
      </c>
      <c r="C56" s="23">
        <v>0.70833333333333337</v>
      </c>
      <c r="D56" s="23">
        <v>0.5</v>
      </c>
      <c r="E56" s="23">
        <v>0.53472222222222221</v>
      </c>
      <c r="F56" s="23">
        <v>0.61458333333333337</v>
      </c>
      <c r="G56" s="23">
        <v>0.625</v>
      </c>
      <c r="H56">
        <v>1</v>
      </c>
      <c r="I56" t="s">
        <v>175</v>
      </c>
    </row>
    <row r="57" spans="1:9" x14ac:dyDescent="0.45">
      <c r="A57" s="21">
        <v>46137</v>
      </c>
      <c r="H57">
        <v>1</v>
      </c>
      <c r="I57" t="s">
        <v>174</v>
      </c>
    </row>
    <row r="58" spans="1:9" x14ac:dyDescent="0.45">
      <c r="A58" s="21">
        <v>46138</v>
      </c>
      <c r="H58">
        <v>1</v>
      </c>
      <c r="I58" t="s">
        <v>174</v>
      </c>
    </row>
    <row r="59" spans="1:9" x14ac:dyDescent="0.45">
      <c r="A59" s="21">
        <v>46139</v>
      </c>
      <c r="B59" s="23">
        <v>0.36458333333333331</v>
      </c>
      <c r="C59" s="23">
        <v>0.70833333333333337</v>
      </c>
      <c r="D59" s="23">
        <v>0.5</v>
      </c>
      <c r="E59" s="23">
        <v>0.53472222222222221</v>
      </c>
      <c r="F59" s="23">
        <v>0.61458333333333337</v>
      </c>
      <c r="G59" s="23">
        <v>0.625</v>
      </c>
      <c r="H59">
        <v>1</v>
      </c>
      <c r="I59" t="s">
        <v>175</v>
      </c>
    </row>
    <row r="60" spans="1:9" x14ac:dyDescent="0.45">
      <c r="A60" s="21">
        <v>46140</v>
      </c>
      <c r="B60" s="23">
        <v>0.36458333333333331</v>
      </c>
      <c r="C60" s="23">
        <v>0.70833333333333337</v>
      </c>
      <c r="D60" s="23">
        <v>0.5</v>
      </c>
      <c r="E60" s="23">
        <v>0.53472222222222221</v>
      </c>
      <c r="F60" s="23">
        <v>0.61458333333333337</v>
      </c>
      <c r="G60" s="23">
        <v>0.625</v>
      </c>
      <c r="H60">
        <v>1</v>
      </c>
      <c r="I60" t="s">
        <v>175</v>
      </c>
    </row>
    <row r="61" spans="1:9" x14ac:dyDescent="0.45">
      <c r="A61" s="21">
        <v>46141</v>
      </c>
      <c r="B61" s="23">
        <v>0.36458333333333331</v>
      </c>
      <c r="C61" s="23">
        <v>0.70833333333333337</v>
      </c>
      <c r="D61" s="23">
        <v>0.5</v>
      </c>
      <c r="E61" s="23">
        <v>0.53472222222222221</v>
      </c>
      <c r="F61" s="23">
        <v>0.61458333333333337</v>
      </c>
      <c r="G61" s="23">
        <v>0.625</v>
      </c>
      <c r="H61">
        <v>1</v>
      </c>
      <c r="I61" t="s">
        <v>175</v>
      </c>
    </row>
    <row r="62" spans="1:9" x14ac:dyDescent="0.45">
      <c r="A62" s="21">
        <v>46142</v>
      </c>
      <c r="B62" s="23">
        <v>0.36458333333333331</v>
      </c>
      <c r="C62" s="23">
        <v>0.70833333333333337</v>
      </c>
      <c r="D62" s="23">
        <v>0.5</v>
      </c>
      <c r="E62" s="23">
        <v>0.53472222222222221</v>
      </c>
      <c r="F62" s="23">
        <v>0.61458333333333337</v>
      </c>
      <c r="G62" s="23">
        <v>0.625</v>
      </c>
      <c r="H62">
        <v>1</v>
      </c>
      <c r="I62" t="s">
        <v>175</v>
      </c>
    </row>
  </sheetData>
  <sortState xmlns:xlrd2="http://schemas.microsoft.com/office/spreadsheetml/2017/richdata2" ref="A2:J62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メイン</vt:lpstr>
      <vt:lpstr>skills</vt:lpstr>
      <vt:lpstr>need</vt:lpstr>
      <vt:lpstr>3月カレンダー</vt:lpstr>
      <vt:lpstr>4月カレンダー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dcterms:created xsi:type="dcterms:W3CDTF">2026-03-20T04:59:22Z</dcterms:created>
  <dcterms:modified xsi:type="dcterms:W3CDTF">2026-03-29T04:02:17Z</dcterms:modified>
</cp:coreProperties>
</file>
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x-emf" Extension="emf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spreadsheetml.comments+xml" PartName="/xl/comments3.xml"/>
  <Override ContentType="application/vnd.openxmlformats-officedocument.spreadsheetml.comments+xml" PartName="/xl/comments4.xml"/>
  <Override ContentType="application/vnd.openxmlformats-officedocument.spreadsheetml.comments+xml" PartName="/xl/comments5.xml"/>
  <Override ContentType="application/vnd.openxmlformats-officedocument.spreadsheetml.comments+xml" PartName="/xl/comments6.xml"/>
  <Override ContentType="application/vnd.openxmlformats-officedocument.spreadsheetml.comments+xml" PartName="/xl/comments7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drawing+xml" PartName="/xl/drawings/drawing5.xml"/>
  <Override ContentType="application/vnd.openxmlformats-officedocument.drawing+xml" PartName="/xl/drawings/drawing6.xml"/>
  <Override ContentType="application/vnd.openxmlformats-officedocument.drawing+xml" PartName="/xl/drawings/drawing7.xml"/>
  <Override ContentType="application/vnd.openxmlformats-officedocument.drawing+xml" PartName="/xl/drawings/drawing8.xml"/>
  <Override ContentType="application/vnd.openxmlformats-officedocument.drawing+xml" PartName="/xl/drawings/drawing9.xml"/>
  <Override ContentType="application/vnd.openxmlformats-officedocument.drawing+xml" PartName="/xl/drawings/drawing10.xml"/>
  <Override ContentType="application/vnd.openxmlformats-officedocument.spreadsheetml.sheetMetadata+xml" PartName="/xl/metadata.xml"/>
  <Override ContentType="application/vnd.ms-excel.rdrichvalue+xml" PartName="/xl/richData/rdrichvalue.xml"/>
  <Override ContentType="application/vnd.ms-excel.rdrichvaluestructure+xml" PartName="/xl/richData/rdrichvaluestructure.xml"/>
  <Override ContentType="application/vnd.ms-excel.rdrichvaluetypes+xml" PartName="/xl/richData/rdRichValueTypes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office.webextensiontaskpanes+xml" PartName="/xl/webextensions/taskpanes.xml"/>
  <Override ContentType="application/vnd.ms-office.webextension+xml" PartName="/xl/webextensions/webextension1.xml"/>
  <Override ContentType="application/vnd.ms-office.webextension+xml" PartName="/xl/webextensions/webextension2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spreadsheetml.worksheet+xml" PartName="/xl/worksheets/sheet15.xml"/>
  <Override ContentType="application/vnd.openxmlformats-officedocument.spreadsheetml.worksheet+xml" PartName="/xl/worksheets/sheet16.xml"/>
  <Override ContentType="application/vnd.openxmlformats-officedocument.spreadsheetml.worksheet+xml" PartName="/xl/worksheets/sheet17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xl/webextensions/taskpanes.xml" Type="http://schemas.microsoft.com/office/2011/relationships/webextensiontaskpanes"/><Relationship Id="rId3" Target="docProps/core.xml" Type="http://schemas.openxmlformats.org/package/2006/relationships/metadata/core-properties"/><Relationship Id="rId4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defaultThemeVersion="202300"/>
  <mc:AlternateContent>
    <mc:Choice Requires="x15">
      <x15ac:absPath xmlns:x15ac="http://schemas.microsoft.com/office/spreadsheetml/2010/11/ac" url="\\192.168.0.101\共有フォルダ\湖南工場\湖南共有\002  加工G\●配台AIシステム\共有DATA\"/>
    </mc:Choice>
  </mc:AlternateContent>
  <xr:revisionPtr revIDLastSave="0" documentId="13_ncr:1_{D708DBD4-6ACE-480F-A505-FFBE4A9D0087}" xr6:coauthVersionLast="47" xr6:coauthVersionMax="47" xr10:uidLastSave="{00000000-0000-0000-0000-000000000000}"/>
  <bookViews>
    <workbookView xWindow="-110" yWindow="-110" windowWidth="38620" windowHeight="21100" activeTab="4" xr2:uid="{00000000-000D-0000-FFFF-FFFF00000000}"/>
  </bookViews>
  <sheets>
    <sheet name="メイン" sheetId="11" r:id="rId1"/>
    <sheet name="skills" sheetId="1" r:id="rId2"/>
    <sheet name="組み合わせ表" sheetId="27" r:id="rId3"/>
    <sheet name="need" sheetId="2" r:id="rId4"/>
    <sheet name="speed" sheetId="39" r:id="rId5"/>
    <sheet name="設定_依頼切替前後時間" sheetId="35" r:id="rId6"/>
    <sheet name="設定_機械_日次始業準備" sheetId="36" r:id="rId7"/>
    <sheet name="組み合わせ表20260404" sheetId="34" r:id="rId8"/>
    <sheet name="4月カレンダー" sheetId="10" state="hidden" r:id="rId9"/>
    <sheet name="2026年5月カレンダー" sheetId="24" state="hidden" r:id="rId10"/>
    <sheet name="2026年6月カレンダー" sheetId="25" state="hidden" r:id="rId11"/>
    <sheet name="2026年7月カレンダー" sheetId="40" r:id="rId12"/>
    <sheet name="2026年8月カレンダー" sheetId="41" r:id="rId13"/>
    <sheet name="2026年9月カレンダー" sheetId="42" r:id="rId14"/>
    <sheet name="2026年10月カレンダー" sheetId="43" r:id="rId15"/>
    <sheet name="2026年11月カレンダー" sheetId="44" r:id="rId16"/>
    <sheet name="_FontPick" sheetId="22" state="veryHidden" r:id="rId17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3">need!$A$1:$S$20</definedName>
    <definedName name="_xlnm.Print_Area" localSheetId="4">speed!$A$1:$S$20</definedName>
  </definedNames>
  <calcPr calcId="191029" fullCalcOnLoad="true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CF3D14F8-C290-4B04-AB64-EBF4E1BE9C7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B19F9713-27D1-4C98-83FB-683E22FD972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D13B563-0476-4841-969F-ADBE2F3DA8E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P20" authorId="0" shapeId="0" xr:uid="{08ABE133-668B-4CB5-BC0E-C4CC4D0BC3D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3206E521-70B8-4F67-8392-3789B372499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97C431AB-823B-4FBA-BCBB-D50D7AB9BBE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22" authorId="0" shapeId="0" xr:uid="{C6F73DB1-2FEB-4347-B722-15EE8405A2A9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A22" authorId="0" shapeId="0" xr:uid="{49BB2331-BDC9-4777-92D9-37E3A0929CBE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O24" authorId="0" shapeId="0" xr:uid="{8B1375EA-43C4-416F-889D-E4D7B5E28F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A24" authorId="0" shapeId="0" xr:uid="{0BF2E747-2398-4C45-BBA7-621A7C7D63B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R8" authorId="0" shapeId="0" xr:uid="{8F646286-3D3D-4057-B025-4DCD5D5587A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N9" authorId="0" shapeId="0" xr:uid="{A1070A39-E13D-4B08-8E96-20D320755CEE}">
      <text>
        <r>
          <rPr>
            <b/>
            <sz val="9"/>
            <color indexed="81"/>
            <rFont val="MS P ゴシック"/>
            <family val="3"/>
            <charset val="128"/>
          </rPr>
          <t>検診</t>
        </r>
      </text>
    </comment>
    <comment ref="M19" authorId="0" shapeId="0" xr:uid="{F8C4C948-60CE-4433-919F-297BBEBCFD9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B19" authorId="0" shapeId="0" xr:uid="{9FE12ABF-2B28-4D9E-A34C-D80D01226AA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2B3B7B4C-0C71-465E-AD46-E7D6367698CB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0" authorId="0" shapeId="0" xr:uid="{39DDF4D0-2F88-4D70-840F-14C4381C850A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K20" authorId="0" shapeId="0" xr:uid="{72E0677B-D2FE-4841-8292-6A365E5AC373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L20" authorId="0" shapeId="0" xr:uid="{D17DB5D7-7B03-4C41-9453-1E15F02B8897}">
      <text>
        <r>
          <rPr>
            <b/>
            <sz val="9"/>
            <color indexed="81"/>
            <rFont val="MS P ゴシック"/>
            <family val="3"/>
            <charset val="128"/>
          </rPr>
          <t>病気</t>
        </r>
      </text>
    </comment>
    <comment ref="N21" authorId="0" shapeId="0" xr:uid="{4BBB6845-58A5-4CDE-80E9-B6C3FF15A4B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21" authorId="0" shapeId="0" xr:uid="{49247F6E-42B1-44AE-93CD-97E7CD2966E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1" authorId="0" shapeId="0" xr:uid="{0C4F5741-7E66-450D-AECA-0134271726F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22" authorId="0" shapeId="0" xr:uid="{05823E0E-BF2D-4AD9-B307-73FDFA2C24E8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G23" authorId="0" shapeId="0" xr:uid="{A3E56674-5283-4F4A-8059-B0910A40C19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3" authorId="0" shapeId="0" xr:uid="{93D6D9BD-369C-4FE9-B117-2FC3F7ED4A6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F23" authorId="0" shapeId="0" xr:uid="{4CA05270-3CD8-4BB3-88F7-3CC73D424C1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U24" authorId="0" shapeId="0" xr:uid="{DFA39F2A-DFB8-4083-B4F2-EE78A2CDF329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A24" authorId="0" shapeId="0" xr:uid="{F34ED096-5E31-493E-9FC5-A5BA5DA77BF5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  <comment ref="AE24" authorId="0" shapeId="0" xr:uid="{C5A0919F-33A4-4C28-B72F-599CB1BCBD5A}">
      <text>
        <r>
          <rPr>
            <b/>
            <sz val="9"/>
            <color indexed="81"/>
            <rFont val="MS P ゴシック"/>
            <family val="3"/>
            <charset val="128"/>
          </rPr>
          <t>勤続20年特別休暇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5B24A0C-6A8C-43B8-90A2-0BA82B3C279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S8" authorId="0" shapeId="0" xr:uid="{7D637E4C-AA6F-46C2-9C36-7D1441A1304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9" authorId="0" shapeId="0" xr:uid="{B8F86F3E-A5CC-413F-844A-D2C825AB68D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12" authorId="0" shapeId="0" xr:uid="{B82A26A2-4177-418F-815D-7C53B008A6C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12" authorId="0" shapeId="0" xr:uid="{E63D118A-FAA5-43BA-9778-51E805F95B5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13" authorId="0" shapeId="0" xr:uid="{B06EE4F2-B7BD-4E95-8768-703F954788A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K13" authorId="0" shapeId="0" xr:uid="{DADE71D9-BB33-4014-94F1-3D9C9AFFC6C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Q13" authorId="0" shapeId="0" xr:uid="{1B4FD34D-C9F8-4914-834E-3416E44C9087}">
      <text>
        <r>
          <rPr>
            <b/>
            <sz val="9"/>
            <color indexed="81"/>
            <rFont val="MS P ゴシック"/>
            <family val="3"/>
            <charset val="128"/>
          </rPr>
          <t>母通院のため</t>
        </r>
      </text>
    </comment>
    <comment ref="L16" authorId="0" shapeId="0" xr:uid="{B4FF09D1-5DD0-429F-827F-71C7C7EC1FB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16" authorId="0" shapeId="0" xr:uid="{9EDBDC99-D4F7-461A-AC86-14E3704E2D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I20" authorId="0" shapeId="0" xr:uid="{068A9533-C6A5-465A-932D-6418A2FC0EB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C21" authorId="0" shapeId="0" xr:uid="{6CCC71EE-3960-4F5E-84B7-E289ECD1EE6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2" authorId="0" shapeId="0" xr:uid="{71DB46A1-C970-494B-A971-91EEA75C71CD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Z22" authorId="0" shapeId="0" xr:uid="{7C40CAD6-E84D-4B38-909E-E09BA2BE1460}">
      <text>
        <r>
          <rPr>
            <b/>
            <sz val="9"/>
            <color indexed="81"/>
            <rFont val="MS P ゴシック"/>
            <family val="3"/>
            <charset val="128"/>
          </rPr>
          <t>母の病院</t>
        </r>
      </text>
    </comment>
    <comment ref="AE24" authorId="0" shapeId="0" xr:uid="{DBA355B4-AD7D-4F89-93FB-E1A2F472DCE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J8" authorId="0" shapeId="0" xr:uid="{E2F89211-FD94-46C3-8D22-CC01D6F4BA3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8" authorId="0" shapeId="0" xr:uid="{F5B68D1F-AC12-4C34-9140-393174CA43CC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8" authorId="0" shapeId="0" xr:uid="{F7DD475E-5BBC-41AC-B92D-BA2EA3DF85A6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J9" authorId="0" shapeId="0" xr:uid="{5C794D65-C357-4139-A1D1-AC7DF7C9904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9" authorId="0" shapeId="0" xr:uid="{22C1968D-757C-4469-91CA-EB06FD984F2D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O9" authorId="0" shapeId="0" xr:uid="{7A4B52C0-08FE-40B0-BE8E-C92DE1E7FCB5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V9" authorId="0" shapeId="0" xr:uid="{ECF5D7F3-E70F-4B90-A759-15B082AC68D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447CEF34-307C-4B29-9530-6DE6EA1CE85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1" authorId="0" shapeId="0" xr:uid="{AA1C3BF8-671D-491E-9422-0DAD867618E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2" authorId="0" shapeId="0" xr:uid="{79EC8C37-B327-45C0-A774-3887746FCAB2}">
      <text>
        <r>
          <rPr>
            <b/>
            <sz val="9"/>
            <color indexed="81"/>
            <rFont val="MS P ゴシック"/>
            <family val="3"/>
            <charset val="128"/>
          </rPr>
          <t>年休奨励</t>
        </r>
      </text>
    </comment>
    <comment ref="U12" authorId="0" shapeId="0" xr:uid="{AB9E32B0-B646-47ED-9A92-F5108857DF5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G13" authorId="0" shapeId="0" xr:uid="{ADF784C7-CF00-4F9B-9379-D26150AB71EC}">
      <text>
        <r>
          <rPr>
            <b/>
            <sz val="9"/>
            <color indexed="81"/>
            <rFont val="MS P ゴシック"/>
            <family val="3"/>
            <charset val="128"/>
          </rPr>
          <t>墓参りの為</t>
        </r>
      </text>
    </comment>
    <comment ref="J15" authorId="0" shapeId="0" xr:uid="{890AAAC4-5439-4DAC-94D1-4FF71BB3514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9" authorId="0" shapeId="0" xr:uid="{C6263D74-FD72-495D-A3CB-CC648CEC42B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9" authorId="0" shapeId="0" xr:uid="{C1C4D6D0-37AA-4360-B139-7E33CFE43B6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19" authorId="0" shapeId="0" xr:uid="{8E02CCB8-F922-469E-9FC0-65A9FFFDFF9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19" authorId="0" shapeId="0" xr:uid="{1A15179F-948F-4AFE-93AE-9A094B77833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0" authorId="0" shapeId="0" xr:uid="{3A45F444-9010-4300-B6FA-633F64398859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20" authorId="0" shapeId="0" xr:uid="{C87497A9-1CCE-4370-BECB-C5615AE8048A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21" authorId="0" shapeId="0" xr:uid="{6C0EC91E-02E5-4130-BD9B-56C0E989063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O21" authorId="0" shapeId="0" xr:uid="{4B6F39F5-68AB-49D1-B351-3302AD3C11A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DAC2E75B-2061-4FF4-932C-E4710F39296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M22" authorId="0" shapeId="0" xr:uid="{8DEB6B6F-0331-44EE-BC2B-26A3F707C42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2" authorId="0" shapeId="0" xr:uid="{89CF299E-EF7C-4C06-863A-FA07D2C2C21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Y8" authorId="0" shapeId="0" xr:uid="{C66CD43F-7065-472D-A7C3-FA58FCB38E13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Y9" authorId="0" shapeId="0" xr:uid="{F7AF0020-B7D9-4A89-A0BF-0684984A99F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R11" authorId="0" shapeId="0" xr:uid="{751C00BD-FB81-479C-AA93-47D6ACB5D44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S12" authorId="0" shapeId="0" xr:uid="{F33BE810-0CB9-46A3-A96F-8F613C638B81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S8" authorId="0" shapeId="0" xr:uid="{6B337593-3144-47A0-8C61-55122A615BC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V9" authorId="0" shapeId="0" xr:uid="{B725D174-AC08-4F94-8632-8DCE20292D2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W9" authorId="0" shapeId="0" xr:uid="{E63B8AB6-170F-4D6A-B0FC-CF1528127ECD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RICHVALUE" minSupportedVersion="120000" copy="1" pasteAll="1" pasteValues="1" merge="1" splitFirst="1" rowColShift="1" clearFormats="1" clearComments="1" assign="1" coerce="1"/>
    <metadataType name="XLDAPR" minSupportedVersion="120000" copy="1" pasteAll="1" pasteValues="1" merge="1" splitFirst="1" rowColShift="1" clearFormats="1" clearComments="1" assign="1" coerce="1" cellMeta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2" v="0"/>
    </bk>
  </cell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<sst xmlns="http://schemas.openxmlformats.org/spreadsheetml/2006/main" count="9733" uniqueCount="270">
  <si>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</si>
  <si>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</si>
  <si>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</si>
  <si>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</si>
  <si>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</si>
  <si>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</si>
  <si>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</si>
  <si>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</si>
  <si>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</si>
  <si>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</si>
  <si>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</si>
  <si>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</si>
  <si>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</si>
  <si>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</si>
  <si>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</si>
  <si>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</si>
  <si>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</si>
  <si>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</si>
  <si>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</si>
  <si>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</si>
  <si>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</si>
  <si>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</si>
  <si>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</si>
  <si>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</si>
  <si>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</si>
  <si>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</si>
  <si>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</si>
  <si>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</si>
  <si>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</si>
  <si>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</si>
  <si>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</si>
  <si>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</si>
  <si>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</si>
  <si>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</si>
  <si>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</si>
  <si>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</si>
  <si>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</si>
  <si>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</si>
  <si>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</si>
  <si>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</si>
  <si>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</si>
  <si>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</si>
  <si>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</si>
  <si>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</si>
  <si>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</si>
  <si>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</si>
  <si>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</si>
  <si>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</si>
  <si>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</si>
  <si>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</si>
  <si>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</si>
  <si>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</si>
  <si>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</si>
  <si>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</si>
  <si>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</si>
  <si>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</si>
  <si>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</si>
  <si>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</si>
  <si>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</si>
  <si>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</si>
  <si>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</si>
  <si>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</si>
  <si>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</si>
  <si>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</si>
  <si>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</si>
  <si>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</si>
  <si>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</si>
  <si>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</si>
  <si>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</si>
  <si>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</si>
  <si>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</si>
  <si>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</si>
  <si>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</si>
  <si>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</si>
  <si>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</si>
  <si>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</si>
  <si>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</si>
  <si>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</si>
  <si>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</si>
  <si>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</si>
  <si>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</si>
  <si>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</si>
  <si>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</si>
  <si>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</si>
  <si>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</si>
  <si>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</si>
  <si>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</si>
  <si>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</si>
  <si>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</si>
  <si>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</si>
  <si>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</si>
  <si>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</si>
  <si>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</si>
  <si>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</si>
  <si>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</si>
  <si>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</si>
  <si>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</si>
  <si>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</si>
  <si>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</si>
  <si>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</si>
  <si>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</si>
  <si>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</si>
  <si>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</si>
  <si>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</si>
  <si>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</si>
  <si>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</si>
  <si>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</si>
  <si>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</si>
  <si>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</si>
  <si>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</si>
  <si>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</si>
  <si>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</si>
  <si>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</si>
  <si>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</si>
  <si>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砂田　奈美</t>
  </si>
  <si>
    <t>古家　　淳子</t>
  </si>
  <si>
    <t>古家　淳子</t>
  </si>
  <si>
    <t>宮島　剛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</si>
  <si>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</si>
  <si>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</si>
  <si>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</si>
  <si>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</si>
  <si>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</si>
  <si>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</si>
  <si>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</si>
  <si>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</si>
  <si>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</si>
  <si>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</si>
  <si>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</si>
  <si>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</si>
  <si>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</si>
  <si>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</si>
  <si>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</si>
  <si>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</si>
  <si>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</si>
  <si>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</si>
  <si>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</si>
  <si>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</si>
  <si>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</si>
  <si>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</si>
  <si>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</si>
  <si>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</si>
  <si>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</si>
  <si>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</si>
  <si>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</si>
  <si>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</si>
  <si>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</si>
  <si>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</si>
  <si>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</si>
  <si>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</si>
  <si>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</si>
  <si>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</si>
  <si>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</si>
  <si>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</si>
  <si>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</si>
  <si>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</si>
  <si>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</si>
  <si>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</si>
  <si>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</si>
  <si>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</si>
  <si>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</si>
  <si>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</si>
  <si>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</si>
  <si>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</si>
  <si>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</si>
  <si>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</si>
  <si>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</si>
  <si>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</si>
  <si>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</si>
  <si>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</si>
  <si>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</si>
  <si>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</si>
  <si>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</si>
  <si>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</si>
  <si>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</si>
  <si>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</si>
  <si>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</si>
  <si>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</si>
  <si>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</si>
  <si>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</si>
  <si>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</si>
  <si>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</si>
  <si>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</si>
  <si>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</si>
  <si>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</si>
  <si>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</si>
  <si>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</si>
  <si>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</si>
  <si>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</si>
  <si>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</si>
  <si>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</si>
  <si>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</si>
  <si>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</si>
  <si>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</si>
  <si>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</si>
  <si>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</si>
  <si>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</si>
  <si>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</si>
  <si>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</si>
  <si>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</si>
  <si>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</si>
  <si>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</si>
  <si>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</si>
  <si>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</si>
  <si>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</si>
  <si>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</si>
  <si>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</si>
  <si>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</si>
  <si>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</si>
  <si>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</si>
  <si>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</si>
  <si>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東出　繫利</t>
    <rPh sb="0" eb="2">
      <t>ヒガシデ</t>
    </rPh>
    <rPh sb="3" eb="5">
      <t>シゲトシ</t>
    </rPh>
    <phoneticPr fontId="6"/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</si>
  <si>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</si>
  <si>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</si>
  <si>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</si>
  <si>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</si>
  <si>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</si>
  <si>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</si>
  <si>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</si>
  <si>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</si>
  <si>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</si>
  <si>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-</t>
    <phoneticPr fontId="1"/>
  </si>
  <si>
    <t>欠点表示</t>
  </si>
  <si>
    <t>必要人数</t>
    <rPh sb="0" eb="2">
      <t>ヒツヨウ</t>
    </rPh>
    <rPh sb="2" eb="4">
      <t>ニンズウ</t>
    </rPh>
    <phoneticPr fontId="1"/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</si>
  <si>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</si>
  <si>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</si>
  <si>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</si>
  <si>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</si>
  <si>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</si>
  <si>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</si>
  <si>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</si>
  <si>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</si>
  <si>
    <t>後休</t>
    <rPh sb="0" eb="2">
      <t>アトキュウ</t>
    </rPh>
    <phoneticPr fontId="6"/>
  </si>
  <si>
    <t>*</t>
    <phoneticPr fontId="1"/>
  </si>
  <si>
    <t>前休</t>
    <rPh sb="0" eb="1">
      <t>マエ</t>
    </rPh>
    <rPh sb="1" eb="2">
      <t>ヤス</t>
    </rPh>
    <phoneticPr fontId="1"/>
  </si>
  <si>
    <t>後休</t>
    <rPh sb="0" eb="1">
      <t>アト</t>
    </rPh>
    <rPh sb="1" eb="2">
      <t>ヤス</t>
    </rPh>
    <phoneticPr fontId="1"/>
  </si>
  <si>
    <t>細川　守</t>
    <rPh sb="0" eb="2">
      <t>ホソカワ</t>
    </rPh>
    <rPh sb="3" eb="4">
      <t>マモル</t>
    </rPh>
    <phoneticPr fontId="1"/>
  </si>
  <si>
    <t>検反</t>
    <rPh sb="0" eb="2">
      <t>ケンタン</t>
    </rPh>
    <phoneticPr fontId="1"/>
  </si>
  <si>
    <t>検反+熱融着機　湖南</t>
  </si>
  <si>
    <t>検反</t>
    <rPh sb="0" eb="1">
      <t>ケン</t>
    </rPh>
    <rPh sb="1" eb="2">
      <t>タン</t>
    </rPh>
    <phoneticPr fontId="1"/>
  </si>
  <si>
    <t>改装</t>
    <rPh sb="0" eb="2">
      <t>カイソウ</t>
    </rPh>
    <phoneticPr fontId="1"/>
  </si>
  <si>
    <t>改装+スリット機1　湖南</t>
    <rPh sb="0" eb="2">
      <t>カイソウ</t>
    </rPh>
    <rPh sb="7" eb="8">
      <t>キ</t>
    </rPh>
    <rPh sb="10" eb="12">
      <t>コナン</t>
    </rPh>
    <phoneticPr fontId="1"/>
  </si>
  <si>
    <t>改装+スリット機1　湖南</t>
    <rPh sb="0" eb="2">
      <t>カイソウ</t>
    </rPh>
    <phoneticPr fontId="1"/>
  </si>
  <si>
    <t>スリット機1　湖南</t>
    <rPh sb="4" eb="5">
      <t>キ</t>
    </rPh>
    <rPh sb="7" eb="9">
      <t>コナン</t>
    </rPh>
    <phoneticPr fontId="1"/>
  </si>
  <si>
    <t>検反</t>
  </si>
  <si>
    <t>改装</t>
  </si>
  <si>
    <t>OP</t>
  </si>
  <si>
    <t>AS</t>
  </si>
  <si>
    <t>細川　守</t>
  </si>
  <si>
    <t>基本必要人数</t>
  </si>
  <si>
    <t>余力時追加人数</t>
  </si>
  <si>
    <t>依頼NOがJRから始まる場合</t>
  </si>
  <si>
    <t>prefix:PN</t>
  </si>
  <si>
    <t>依頼NOがPNから始まる場合</t>
  </si>
  <si>
    <t>基本速度</t>
  </si>
  <si>
    <t>実稼働比率</t>
  </si>
  <si>
    <t>ロジック式</t>
  </si>
  <si>
    <t>対象変更</t>
  </si>
  <si>
    <t>組合せ行ID</t>
  </si>
  <si>
    <t>編集ロック</t>
  </si>
  <si>
    <t>追加行</t>
  </si>
  <si>
    <t>改装+改装</t>
  </si>
  <si>
    <t>穴あけ</t>
  </si>
  <si>
    <t>穴あけ+SEC機　湖南</t>
  </si>
  <si>
    <t>OP 図司　智子</t>
  </si>
  <si>
    <t>OP 宮島　　剛</t>
  </si>
  <si>
    <t>OP 冨田　裕子</t>
  </si>
  <si>
    <t>OP 森岡　真由美</t>
  </si>
  <si>
    <t>AS 竹内　正美</t>
  </si>
  <si>
    <t>AS 菅沼　めぐみ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</si>
</sst>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76" formatCode="aaa"/>
    <numFmt numFmtId="177" formatCode="0&quot;年&quot;"/>
    <numFmt numFmtId="178" formatCode="0&quot;月&quot;"/>
    <numFmt numFmtId="179" formatCode="d"/>
    <numFmt numFmtId="180" formatCode="0_);[Red]\(0\)"/>
  </numFmts>
  <fonts count="1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8"/>
      <color theme="1"/>
      <name val="游ゴシック"/>
      <family val="3"/>
      <charset val="128"/>
      <scheme val="minor"/>
    </font>
  </fonts>
  <fills count="1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A6A6A6"/>
        <bgColor rgb="FF000000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85">
    <xf numFmtId="0" fontId="0" fillId="0" borderId="0" xfId="0">
      <alignment vertical="center"/>
    </xf>
    <xf numFmtId="0" fontId="0" fillId="0" borderId="0" xfId="0" applyAlignment="1"/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3" fillId="8" borderId="7" xfId="0" applyFont="1" applyFill="1" applyBorder="1">
      <alignment vertical="center"/>
    </xf>
    <xf numFmtId="0" fontId="11" fillId="9" borderId="8" xfId="0" applyFont="1" applyFill="1" applyBorder="1" applyAlignment="1">
      <alignment horizontal="center" vertical="center"/>
    </xf>
    <xf numFmtId="0" fontId="9" fillId="10" borderId="8" xfId="0" applyFont="1" applyFill="1" applyBorder="1">
      <alignment vertical="center"/>
    </xf>
    <xf numFmtId="0" fontId="9" fillId="11" borderId="8" xfId="0" applyFont="1" applyFill="1" applyBorder="1">
      <alignment vertical="center"/>
    </xf>
    <xf numFmtId="20" fontId="4" fillId="0" borderId="5" xfId="0" applyNumberFormat="1" applyFont="1" applyBorder="1">
      <alignment vertical="center"/>
    </xf>
    <xf numFmtId="0" fontId="13" fillId="0" borderId="0" xfId="2" applyFont="1">
      <alignment vertical="center"/>
    </xf>
    <xf numFmtId="0" fontId="14" fillId="0" borderId="0" xfId="0" applyFont="1">
      <alignment vertical="center"/>
    </xf>
    <xf numFmtId="0" fontId="0" fillId="0" borderId="5" xfId="0" applyBorder="1">
      <alignment vertical="center"/>
    </xf>
    <xf numFmtId="0" fontId="15" fillId="12" borderId="5" xfId="1" applyFont="1" applyFill="1" applyBorder="1" applyAlignment="1">
      <alignment vertical="top"/>
    </xf>
    <xf numFmtId="0" fontId="14" fillId="0" borderId="5" xfId="0" applyFont="1" applyBorder="1">
      <alignment vertical="center"/>
    </xf>
    <xf numFmtId="0" fontId="14" fillId="4" borderId="5" xfId="0" applyFont="1" applyFill="1" applyBorder="1" applyAlignment="1">
      <alignment horizontal="center" vertical="center"/>
    </xf>
    <xf numFmtId="0" fontId="14" fillId="6" borderId="5" xfId="0" applyFont="1" applyFill="1" applyBorder="1" applyAlignment="1">
      <alignment horizontal="center" vertical="center"/>
    </xf>
    <xf numFmtId="179" fontId="14" fillId="7" borderId="5" xfId="0" applyNumberFormat="1" applyFont="1" applyFill="1" applyBorder="1" applyAlignment="1">
      <alignment horizontal="center" vertical="center"/>
    </xf>
    <xf numFmtId="176" fontId="14" fillId="7" borderId="5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14" fillId="2" borderId="0" xfId="0" applyFont="1" applyFill="1">
      <alignment vertical="center"/>
    </xf>
    <xf numFmtId="177" fontId="16" fillId="0" borderId="0" xfId="0" applyNumberFormat="1" applyFont="1">
      <alignment vertical="center"/>
    </xf>
    <xf numFmtId="178" fontId="16" fillId="0" borderId="0" xfId="0" applyNumberFormat="1" applyFont="1">
      <alignment vertical="center"/>
    </xf>
    <xf numFmtId="0" fontId="0" fillId="2" borderId="0" xfId="0" applyFill="1">
      <alignment vertical="center"/>
    </xf>
    <xf numFmtId="0" fontId="14" fillId="2" borderId="1" xfId="0" applyFont="1" applyFill="1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179" fontId="0" fillId="0" borderId="0" xfId="0" applyNumberFormat="1">
      <alignment vertical="center"/>
    </xf>
    <xf numFmtId="180" fontId="0" fillId="0" borderId="5" xfId="0" applyNumberFormat="1" applyBorder="1">
      <alignment vertical="center"/>
    </xf>
    <xf numFmtId="176" fontId="0" fillId="0" borderId="0" xfId="0" applyNumberFormat="1">
      <alignment vertical="center"/>
    </xf>
    <xf numFmtId="176" fontId="0" fillId="0" borderId="5" xfId="0" applyNumberFormat="1" applyBorder="1">
      <alignment vertical="center"/>
    </xf>
    <xf numFmtId="0" fontId="14" fillId="14" borderId="5" xfId="0" applyFont="1" applyFill="1" applyBorder="1" applyAlignment="1">
      <alignment horizontal="center" vertical="center"/>
    </xf>
    <xf numFmtId="0" fontId="14" fillId="13" borderId="5" xfId="0" applyFont="1" applyFill="1" applyBorder="1" applyAlignment="1">
      <alignment horizontal="center" vertical="center"/>
    </xf>
    <xf numFmtId="2" fontId="0" fillId="0" borderId="5" xfId="0" applyNumberFormat="1" applyBorder="1">
      <alignment vertical="center"/>
    </xf>
    <xf numFmtId="0" fontId="14" fillId="3" borderId="5" xfId="0" applyFont="1" applyFill="1" applyBorder="1" applyAlignment="1">
      <alignment horizontal="right" vertical="center"/>
    </xf>
    <xf numFmtId="179" fontId="14" fillId="5" borderId="5" xfId="0" applyNumberFormat="1" applyFont="1" applyFill="1" applyBorder="1" applyAlignment="1">
      <alignment horizontal="center" vertical="center"/>
    </xf>
    <xf numFmtId="176" fontId="14" fillId="5" borderId="5" xfId="0" applyNumberFormat="1" applyFont="1" applyFill="1" applyBorder="1" applyAlignment="1">
      <alignment horizontal="center" vertical="center"/>
    </xf>
    <xf numFmtId="0" fontId="14" fillId="5" borderId="5" xfId="0" applyFont="1" applyFill="1" applyBorder="1" applyAlignment="1">
      <alignment horizontal="center" vertical="center"/>
    </xf>
    <xf numFmtId="179" fontId="14" fillId="4" borderId="5" xfId="0" applyNumberFormat="1" applyFont="1" applyFill="1" applyBorder="1" applyAlignment="1">
      <alignment horizontal="center" vertical="center"/>
    </xf>
    <xf numFmtId="176" fontId="14" fillId="4" borderId="5" xfId="0" applyNumberFormat="1" applyFont="1" applyFill="1" applyBorder="1" applyAlignment="1">
      <alignment horizontal="center" vertical="center"/>
    </xf>
    <xf numFmtId="0" fontId="14" fillId="6" borderId="0" xfId="0" applyFont="1" applyFill="1">
      <alignment vertical="center"/>
    </xf>
    <xf numFmtId="0" fontId="14" fillId="15" borderId="5" xfId="0" applyFont="1" applyFill="1" applyBorder="1" applyAlignment="1">
      <alignment horizontal="center" vertical="center"/>
    </xf>
    <xf numFmtId="179" fontId="14" fillId="16" borderId="5" xfId="0" applyNumberFormat="1" applyFont="1" applyFill="1" applyBorder="1" applyAlignment="1">
      <alignment horizontal="center" vertical="center"/>
    </xf>
    <xf numFmtId="176" fontId="14" fillId="16" borderId="5" xfId="0" applyNumberFormat="1" applyFont="1" applyFill="1" applyBorder="1" applyAlignment="1">
      <alignment horizontal="center" vertical="center"/>
    </xf>
    <xf numFmtId="0" fontId="14" fillId="16" borderId="5" xfId="0" applyFont="1" applyFill="1" applyBorder="1" applyAlignment="1">
      <alignment horizontal="center" vertical="center"/>
    </xf>
    <xf numFmtId="178" fontId="16" fillId="0" borderId="0" xfId="0" applyNumberFormat="1" applyFont="1" applyAlignment="1">
      <alignment vertical="center" shrinkToFit="1"/>
    </xf>
    <xf numFmtId="179" fontId="14" fillId="0" borderId="5" xfId="0" applyNumberFormat="1" applyFont="1" applyBorder="1" applyAlignment="1">
      <alignment horizontal="center" vertical="center"/>
    </xf>
    <xf numFmtId="176" fontId="14" fillId="0" borderId="5" xfId="0" applyNumberFormat="1" applyFont="1" applyBorder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2" borderId="9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colors>
    <mruColors>
      <color rgb="FFC0C0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worksheets/sheet11.xml" Type="http://schemas.openxmlformats.org/officeDocument/2006/relationships/worksheet"/><Relationship Id="rId12" Target="worksheets/sheet12.xml" Type="http://schemas.openxmlformats.org/officeDocument/2006/relationships/worksheet"/><Relationship Id="rId13" Target="worksheets/sheet13.xml" Type="http://schemas.openxmlformats.org/officeDocument/2006/relationships/worksheet"/><Relationship Id="rId14" Target="worksheets/sheet14.xml" Type="http://schemas.openxmlformats.org/officeDocument/2006/relationships/worksheet"/><Relationship Id="rId15" Target="worksheets/sheet15.xml" Type="http://schemas.openxmlformats.org/officeDocument/2006/relationships/worksheet"/><Relationship Id="rId16" Target="worksheets/sheet16.xml" Type="http://schemas.openxmlformats.org/officeDocument/2006/relationships/worksheet"/><Relationship Id="rId17" Target="worksheets/sheet17.xml" Type="http://schemas.openxmlformats.org/officeDocument/2006/relationships/worksheet"/><Relationship Id="rId18" Target="theme/theme1.xml" Type="http://schemas.openxmlformats.org/officeDocument/2006/relationships/theme"/><Relationship Id="rId19" Target="styles.xml" Type="http://schemas.openxmlformats.org/officeDocument/2006/relationships/styles"/><Relationship Id="rId2" Target="worksheets/sheet2.xml" Type="http://schemas.openxmlformats.org/officeDocument/2006/relationships/worksheet"/><Relationship Id="rId20" Target="sharedStrings.xml" Type="http://schemas.openxmlformats.org/officeDocument/2006/relationships/sharedStrings"/><Relationship Id="rId21" Target="metadata.xml" Type="http://schemas.openxmlformats.org/officeDocument/2006/relationships/sheetMetadata"/><Relationship Id="rId22" Target="richData/rdrichvalue.xml" Type="http://schemas.microsoft.com/office/2017/06/relationships/rdRichValue"/><Relationship Id="rId23" Target="richData/rdrichvaluestructure.xml" Type="http://schemas.microsoft.com/office/2017/06/relationships/rdRichValueStructure"/><Relationship Id="rId24" Target="richData/rdRichValueTypes.xml" Type="http://schemas.microsoft.com/office/2017/06/relationships/rdRichValueTypes"/><Relationship Id="rId26" Target="vbaProject.bin" Type="http://schemas.microsoft.com/office/2006/relationships/vbaProjec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3.xml.rels><?xml version="1.0" encoding="UTF-8" standalone="yes"?><Relationships xmlns="http://schemas.openxmlformats.org/package/2006/relationships"><Relationship Id="rId1" Target="../media/image2.emf" Type="http://schemas.openxmlformats.org/officeDocument/2006/relationships/image"/></Relationships>
</file>

<file path=xl/drawings/_rels/drawing7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8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9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_rels/drawing10.xml.rels><?xml version="1.0" encoding="UTF-8" standalone="yes"?><Relationships xmlns="http://schemas.openxmlformats.org/package/2006/relationships"><Relationship Id="rId1" Target="../media/image1.pn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6</xdr:row>
      <xdr:rowOff>190500</xdr:rowOff>
    </xdr:from>
    <xdr:to>
      <xdr:col>1</xdr:col>
      <xdr:colOff>1231900</xdr:colOff>
      <xdr:row>9</xdr:row>
      <xdr:rowOff>111125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12700" y="1562100"/>
          <a:ext cx="24765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 editAs="oneCell">
    <xdr:from>
      <xdr:col>3</xdr:col>
      <xdr:colOff>12700</xdr:colOff>
      <xdr:row>7</xdr:row>
      <xdr:rowOff>60255</xdr:rowOff>
    </xdr:from>
    <xdr:to>
      <xdr:col>13</xdr:col>
      <xdr:colOff>463550</xdr:colOff>
      <xdr:row>23</xdr:row>
      <xdr:rowOff>205792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A583897A-3828-8E1E-7C4A-324878B7F3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87700" y="1660455"/>
          <a:ext cx="7302500" cy="380313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3</xdr:col>
      <xdr:colOff>95250</xdr:colOff>
      <xdr:row>1</xdr:row>
      <xdr:rowOff>120650</xdr:rowOff>
    </xdr:from>
    <xdr:to>
      <xdr:col>13</xdr:col>
      <xdr:colOff>469900</xdr:colOff>
      <xdr:row>6</xdr:row>
      <xdr:rowOff>133350</xdr:rowOff>
    </xdr:to>
    <xdr:sp macro="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BE746EE2-31D2-A17B-9769-2E381B54A5F2}"/>
            </a:ext>
          </a:extLst>
        </xdr:cNvPr>
        <xdr:cNvSpPr/>
      </xdr:nvSpPr>
      <xdr:spPr>
        <a:xfrm>
          <a:off x="3270250" y="349250"/>
          <a:ext cx="7226300" cy="11557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/>
            <a:t>メンバーの勤怠管理はアプリ側での管理に変更されました</a:t>
          </a:r>
          <a:endParaRPr kumimoji="1" lang="en-US" altLang="ja-JP" sz="1800"/>
        </a:p>
        <a:p>
          <a:pPr algn="l"/>
          <a:r>
            <a:rPr kumimoji="1" lang="ja-JP" altLang="en-US" sz="1800"/>
            <a:t>物流もアプリ側で入力してください。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287020</xdr:colOff>
      <xdr:row>17</xdr:row>
      <xdr:rowOff>135255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7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9800</xdr:colOff>
      <xdr:row>3</xdr:row>
      <xdr:rowOff>7178</xdr:rowOff>
    </xdr:from>
    <xdr:to>
      <xdr:col>4</xdr:col>
      <xdr:colOff>11042</xdr:colOff>
      <xdr:row>29</xdr:row>
      <xdr:rowOff>132107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47C4F0A-02F0-4291-A46D-1F6199C24A2A}"/>
            </a:ext>
          </a:extLst>
        </xdr:cNvPr>
        <xdr:cNvSpPr txBox="1"/>
      </xdr:nvSpPr>
      <xdr:spPr>
        <a:xfrm flipH="1">
          <a:off x="1820930" y="614569"/>
          <a:ext cx="349112" cy="6441799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105834</xdr:colOff>
      <xdr:row>10</xdr:row>
      <xdr:rowOff>134055</xdr:rowOff>
    </xdr:from>
    <xdr:to>
      <xdr:col>26</xdr:col>
      <xdr:colOff>36689</xdr:colOff>
      <xdr:row>15</xdr:row>
      <xdr:rowOff>90310</xdr:rowOff>
    </xdr:to>
    <xdr:sp macro="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6A94F1C5-BBCD-46CB-A5C0-0F24C1B3C11E}"/>
            </a:ext>
          </a:extLst>
        </xdr:cNvPr>
        <xdr:cNvSpPr/>
      </xdr:nvSpPr>
      <xdr:spPr>
        <a:xfrm>
          <a:off x="1051278" y="2412999"/>
          <a:ext cx="7226300" cy="11557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/>
            <a:t>メンバーの勤怠管理はアプリ側での管理に変更されました</a:t>
          </a:r>
          <a:endParaRPr kumimoji="1" lang="en-US" altLang="ja-JP" sz="1800"/>
        </a:p>
        <a:p>
          <a:pPr algn="l"/>
          <a:r>
            <a:rPr kumimoji="1" lang="ja-JP" altLang="en-US" sz="1800"/>
            <a:t>物流もアプリ側で入力してください。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269922</xdr:colOff>
      <xdr:row>4</xdr:row>
      <xdr:rowOff>23579</xdr:rowOff>
    </xdr:from>
    <xdr:to>
      <xdr:col>14</xdr:col>
      <xdr:colOff>269895</xdr:colOff>
      <xdr:row>30</xdr:row>
      <xdr:rowOff>74934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1D3CE3A3-FCA2-4E5E-BF20-4FD9AAD35AB1}"/>
            </a:ext>
          </a:extLst>
        </xdr:cNvPr>
        <xdr:cNvSpPr txBox="1"/>
      </xdr:nvSpPr>
      <xdr:spPr>
        <a:xfrm flipH="1">
          <a:off x="4800509" y="868405"/>
          <a:ext cx="273299" cy="6296442"/>
        </a:xfrm>
        <a:prstGeom prst="rect">
          <a:avLst/>
        </a:prstGeom>
        <a:solidFill>
          <a:schemeClr val="accent5">
            <a:lumMod val="20000"/>
            <a:lumOff val="80000"/>
            <a:alpha val="50000"/>
          </a:schemeClr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wordArtVertRtl" wrap="square" rtlCol="0" anchor="ctr"/>
        <a:lstStyle/>
        <a:p>
          <a:pPr algn="r"/>
          <a:r>
            <a:rPr kumimoji="1" lang="ja-JP" altLang="en-US" sz="1100" b="1"/>
            <a:t>年休奨励日</a:t>
          </a:r>
        </a:p>
      </xdr:txBody>
    </xdr:sp>
    <xdr:clientData/>
  </xdr:twoCellAnchor>
  <xdr:twoCellAnchor editAs="oneCell">
    <xdr:from>
      <xdr:col>2</xdr:col>
      <xdr:colOff>11044</xdr:colOff>
      <xdr:row>13</xdr:row>
      <xdr:rowOff>24639</xdr:rowOff>
    </xdr:from>
    <xdr:to>
      <xdr:col>27</xdr:col>
      <xdr:colOff>273327</xdr:colOff>
      <xdr:row>28</xdr:row>
      <xdr:rowOff>183429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1674E86D-E083-4451-89F0-5DF07FEBEF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4305" y="3061596"/>
          <a:ext cx="7302500" cy="380313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2</xdr:col>
      <xdr:colOff>93594</xdr:colOff>
      <xdr:row>7</xdr:row>
      <xdr:rowOff>171174</xdr:rowOff>
    </xdr:from>
    <xdr:to>
      <xdr:col>27</xdr:col>
      <xdr:colOff>279677</xdr:colOff>
      <xdr:row>12</xdr:row>
      <xdr:rowOff>112091</xdr:rowOff>
    </xdr:to>
    <xdr:sp macro="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689FAD7-CED3-408B-8F7D-2D3B3C9DC7AC}"/>
            </a:ext>
          </a:extLst>
        </xdr:cNvPr>
        <xdr:cNvSpPr/>
      </xdr:nvSpPr>
      <xdr:spPr>
        <a:xfrm>
          <a:off x="1556855" y="1750391"/>
          <a:ext cx="7226300" cy="11557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/>
            <a:t>メンバーの勤怠管理はアプリ側での管理に変更されました</a:t>
          </a:r>
          <a:endParaRPr kumimoji="1" lang="en-US" altLang="ja-JP" sz="1800"/>
        </a:p>
        <a:p>
          <a:pPr algn="l"/>
          <a:r>
            <a:rPr kumimoji="1" lang="ja-JP" altLang="en-US" sz="1800"/>
            <a:t>物流もアプリ側で入力してください。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254000</xdr:colOff>
      <xdr:row>12</xdr:row>
      <xdr:rowOff>212379</xdr:rowOff>
    </xdr:from>
    <xdr:to>
      <xdr:col>28</xdr:col>
      <xdr:colOff>234674</xdr:colOff>
      <xdr:row>28</xdr:row>
      <xdr:rowOff>128212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D6ADBDD3-C66E-4DBC-A4E8-B78531F773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17261" y="3006379"/>
          <a:ext cx="7302500" cy="380313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3</xdr:col>
      <xdr:colOff>54941</xdr:colOff>
      <xdr:row>7</xdr:row>
      <xdr:rowOff>115957</xdr:rowOff>
    </xdr:from>
    <xdr:to>
      <xdr:col>28</xdr:col>
      <xdr:colOff>241024</xdr:colOff>
      <xdr:row>12</xdr:row>
      <xdr:rowOff>56874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76BB025-19EE-4291-8835-1ACA09B8AEF9}"/>
            </a:ext>
          </a:extLst>
        </xdr:cNvPr>
        <xdr:cNvSpPr/>
      </xdr:nvSpPr>
      <xdr:spPr>
        <a:xfrm>
          <a:off x="1799811" y="1695174"/>
          <a:ext cx="7226300" cy="11557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/>
            <a:t>メンバーの勤怠管理はアプリ側での管理に変更されました</a:t>
          </a:r>
          <a:endParaRPr kumimoji="1" lang="en-US" altLang="ja-JP" sz="1800"/>
        </a:p>
        <a:p>
          <a:pPr algn="l"/>
          <a:r>
            <a:rPr kumimoji="1" lang="ja-JP" altLang="en-US" sz="1800"/>
            <a:t>物流もアプリ側で入力してください。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397566</xdr:colOff>
      <xdr:row>10</xdr:row>
      <xdr:rowOff>217901</xdr:rowOff>
    </xdr:from>
    <xdr:to>
      <xdr:col>27</xdr:col>
      <xdr:colOff>35892</xdr:colOff>
      <xdr:row>26</xdr:row>
      <xdr:rowOff>133734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E41FABFC-A0C1-4341-9117-25FC510C0B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41783" y="2525988"/>
          <a:ext cx="7302500" cy="380313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1</xdr:col>
      <xdr:colOff>480116</xdr:colOff>
      <xdr:row>5</xdr:row>
      <xdr:rowOff>121479</xdr:rowOff>
    </xdr:from>
    <xdr:to>
      <xdr:col>27</xdr:col>
      <xdr:colOff>42242</xdr:colOff>
      <xdr:row>10</xdr:row>
      <xdr:rowOff>62396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E0728653-D2B2-4EC0-A833-BEE3D6ADC050}"/>
            </a:ext>
          </a:extLst>
        </xdr:cNvPr>
        <xdr:cNvSpPr/>
      </xdr:nvSpPr>
      <xdr:spPr>
        <a:xfrm>
          <a:off x="1424333" y="1214783"/>
          <a:ext cx="7226300" cy="11557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/>
            <a:t>メンバーの勤怠管理はアプリ側での管理に変更されました</a:t>
          </a:r>
          <a:endParaRPr kumimoji="1" lang="en-US" altLang="ja-JP" sz="1800"/>
        </a:p>
        <a:p>
          <a:pPr algn="l"/>
          <a:r>
            <a:rPr kumimoji="1" lang="ja-JP" altLang="en-US" sz="1800"/>
            <a:t>物流もアプリ側で入力してください。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695739</xdr:colOff>
      <xdr:row>10</xdr:row>
      <xdr:rowOff>35683</xdr:rowOff>
    </xdr:from>
    <xdr:to>
      <xdr:col>24</xdr:col>
      <xdr:colOff>234674</xdr:colOff>
      <xdr:row>25</xdr:row>
      <xdr:rowOff>194472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E19A07F4-6E3A-4D66-B04C-DD19311F97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5739" y="2343770"/>
          <a:ext cx="7302500" cy="3803137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0</xdr:col>
      <xdr:colOff>778289</xdr:colOff>
      <xdr:row>4</xdr:row>
      <xdr:rowOff>182217</xdr:rowOff>
    </xdr:from>
    <xdr:to>
      <xdr:col>24</xdr:col>
      <xdr:colOff>241024</xdr:colOff>
      <xdr:row>9</xdr:row>
      <xdr:rowOff>123135</xdr:rowOff>
    </xdr:to>
    <xdr:sp macro="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8E3DF853-7B75-4EB8-9184-96874C846763}"/>
            </a:ext>
          </a:extLst>
        </xdr:cNvPr>
        <xdr:cNvSpPr/>
      </xdr:nvSpPr>
      <xdr:spPr>
        <a:xfrm>
          <a:off x="778289" y="1032565"/>
          <a:ext cx="7226300" cy="1155700"/>
        </a:xfrm>
        <a:prstGeom prst="round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800"/>
            <a:t>メンバーの勤怠管理はアプリ側での管理に変更されました</a:t>
          </a:r>
          <a:endParaRPr kumimoji="1" lang="en-US" altLang="ja-JP" sz="1800"/>
        </a:p>
        <a:p>
          <a:pPr algn="l"/>
          <a:r>
            <a:rPr kumimoji="1" lang="ja-JP" altLang="en-US" sz="1800"/>
            <a:t>物流もアプリ側で入力してください。</a:t>
          </a:r>
        </a:p>
      </xdr:txBody>
    </xdr:sp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<Relationships xmlns="http://schemas.openxmlformats.org/package/2006/relationships"><Relationship Id="rId1" Target="webextension1.xml" Type="http://schemas.microsoft.com/office/2011/relationships/webextension"/><Relationship Id="rId2" Target="webextension2.xml" Type="http://schemas.microsoft.com/office/2011/relationships/webextension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<Relationships xmlns="http://schemas.openxmlformats.org/package/2006/relationships"><Relationship Id="rId1" Target="../drawings/drawing1.xml" Type="http://schemas.openxmlformats.org/officeDocument/2006/relationships/drawing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drawings/drawing2.xml" Type="http://schemas.openxmlformats.org/officeDocument/2006/relationships/drawing"/><Relationship Id="rId2" Target="../drawings/vmlDrawing1.vml" Type="http://schemas.openxmlformats.org/officeDocument/2006/relationships/vmlDrawing"/><Relationship Id="rId3" Target="../ctrlProps/ctrlProp1.xml" Type="http://schemas.openxmlformats.org/officeDocument/2006/relationships/ctrlProp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5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/Relationships>
</file>

<file path=xl/worksheets/_rels/sheet6.xml.rels><?xml version="1.0" encoding="UTF-8" standalone="yes"?><Relationships xmlns="http://schemas.openxmlformats.org/package/2006/relationships"><Relationship Id="rId1" Target="../drawings/drawing3.xml" Type="http://schemas.openxmlformats.org/officeDocument/2006/relationships/drawing"/></Relationships>
</file>

<file path=xl/worksheets/_rels/sheet8.xml.rels><?xml version="1.0" encoding="UTF-8" standalone="yes"?><Relationships xmlns="http://schemas.openxmlformats.org/package/2006/relationships"><Relationship Id="rId1" Target="../drawings/drawing4.xml" Type="http://schemas.openxmlformats.org/officeDocument/2006/relationships/drawing"/><Relationship Id="rId2" Target="../drawings/vmlDrawing2.vml" Type="http://schemas.openxmlformats.org/officeDocument/2006/relationships/vmlDrawing"/><Relationship Id="rId3" Target="../ctrlProps/ctrlProp2.xml" Type="http://schemas.openxmlformats.org/officeDocument/2006/relationships/ctrlProp"/></Relationships>
</file>

<file path=xl/worksheets/_rels/sheet9.xml.rels><?xml version="1.0" encoding="UTF-8" standalone="yes"?><Relationships xmlns="http://schemas.openxmlformats.org/package/2006/relationships"><Relationship Id="rId1" Target="../drawings/vmlDrawing3.vml" Type="http://schemas.openxmlformats.org/officeDocument/2006/relationships/vmlDrawing"/><Relationship Id="rId2" Target="../comments1.xml" Type="http://schemas.openxmlformats.org/officeDocument/2006/relationships/comments"/></Relationships>
</file>

<file path=xl/worksheets/_rels/sheet10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5.xml" Type="http://schemas.openxmlformats.org/officeDocument/2006/relationships/drawing"/><Relationship Id="rId3" Target="../drawings/vmlDrawing4.vml" Type="http://schemas.openxmlformats.org/officeDocument/2006/relationships/vmlDrawing"/><Relationship Id="rId4" Target="../comments2.xml" Type="http://schemas.openxmlformats.org/officeDocument/2006/relationships/comments"/></Relationships>
</file>

<file path=xl/worksheets/_rels/sheet11.xml.rels><?xml version="1.0" encoding="UTF-8" standalone="yes"?><Relationships xmlns="http://schemas.openxmlformats.org/package/2006/relationships"><Relationship Id="rId1" Target="../printerSettings/printerSettings5.bin" Type="http://schemas.openxmlformats.org/officeDocument/2006/relationships/printerSettings"/><Relationship Id="rId2" Target="../drawings/vmlDrawing5.vml" Type="http://schemas.openxmlformats.org/officeDocument/2006/relationships/vmlDrawing"/><Relationship Id="rId3" Target="../comments3.xml" Type="http://schemas.openxmlformats.org/officeDocument/2006/relationships/comments"/></Relationships>
</file>

<file path=xl/worksheets/_rels/sheet12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6.xml" Type="http://schemas.openxmlformats.org/officeDocument/2006/relationships/drawing"/><Relationship Id="rId3" Target="../drawings/vmlDrawing6.vml" Type="http://schemas.openxmlformats.org/officeDocument/2006/relationships/vmlDrawing"/><Relationship Id="rId4" Target="../comments4.xml" Type="http://schemas.openxmlformats.org/officeDocument/2006/relationships/comments"/></Relationships>
</file>

<file path=xl/worksheets/_rels/sheet13.xml.rels><?xml version="1.0" encoding="UTF-8" standalone="yes"?><Relationships xmlns="http://schemas.openxmlformats.org/package/2006/relationships"><Relationship Id="rId1" Target="../printerSettings/printerSettings7.bin" Type="http://schemas.openxmlformats.org/officeDocument/2006/relationships/printerSettings"/><Relationship Id="rId2" Target="../drawings/drawing7.xml" Type="http://schemas.openxmlformats.org/officeDocument/2006/relationships/drawing"/><Relationship Id="rId3" Target="../drawings/vmlDrawing7.vml" Type="http://schemas.openxmlformats.org/officeDocument/2006/relationships/vmlDrawing"/><Relationship Id="rId4" Target="../comments5.xml" Type="http://schemas.openxmlformats.org/officeDocument/2006/relationships/comments"/></Relationships>
</file>

<file path=xl/worksheets/_rels/sheet14.xml.rels><?xml version="1.0" encoding="UTF-8" standalone="yes"?><Relationships xmlns="http://schemas.openxmlformats.org/package/2006/relationships"><Relationship Id="rId1" Target="../printerSettings/printerSettings8.bin" Type="http://schemas.openxmlformats.org/officeDocument/2006/relationships/printerSettings"/><Relationship Id="rId2" Target="../drawings/drawing8.xml" Type="http://schemas.openxmlformats.org/officeDocument/2006/relationships/drawing"/><Relationship Id="rId3" Target="../drawings/vmlDrawing8.vml" Type="http://schemas.openxmlformats.org/officeDocument/2006/relationships/vmlDrawing"/><Relationship Id="rId4" Target="../comments6.xml" Type="http://schemas.openxmlformats.org/officeDocument/2006/relationships/comments"/></Relationships>
</file>

<file path=xl/worksheets/_rels/sheet15.xml.rels><?xml version="1.0" encoding="UTF-8" standalone="yes"?><Relationships xmlns="http://schemas.openxmlformats.org/package/2006/relationships"><Relationship Id="rId1" Target="../printerSettings/printerSettings9.bin" Type="http://schemas.openxmlformats.org/officeDocument/2006/relationships/printerSettings"/><Relationship Id="rId2" Target="../drawings/drawing9.xml" Type="http://schemas.openxmlformats.org/officeDocument/2006/relationships/drawing"/><Relationship Id="rId3" Target="../drawings/vmlDrawing9.vml" Type="http://schemas.openxmlformats.org/officeDocument/2006/relationships/vmlDrawing"/><Relationship Id="rId4" Target="../comments7.xml" Type="http://schemas.openxmlformats.org/officeDocument/2006/relationships/comments"/></Relationships>
</file>

<file path=xl/worksheets/_rels/sheet16.xml.rels><?xml version="1.0" encoding="UTF-8" standalone="yes"?><Relationships xmlns="http://schemas.openxmlformats.org/package/2006/relationships"><Relationship Id="rId1" Target="../printerSettings/printerSettings10.bin" Type="http://schemas.openxmlformats.org/officeDocument/2006/relationships/printerSettings"/><Relationship Id="rId2" Target="../drawings/drawing10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>
      <selection activeCell="R5" sqref="R5"/>
    </sheetView>
  </sheetViews>
  <sheetFormatPr defaultRowHeight="18"/>
  <cols>
    <col min="1" max="2" bestFit="true" customWidth="true" width="16.5"/>
    <col min="4" max="4" bestFit="true" customWidth="true" width="11.9140625"/>
  </cols>
  <sheetData>
    <row r="1" spans="1:4">
      <c r="A1" s="4"/>
      <c r="B1" s="4"/>
      <c r="C1" s="4"/>
      <c r="D1" s="19"/>
    </row>
    <row r="2" spans="1:4">
      <c r="A2" s="4"/>
      <c r="B2" s="4"/>
      <c r="C2" s="4"/>
      <c r="D2" s="38"/>
    </row>
    <row r="3" spans="1:4">
      <c r="A3" s="4"/>
      <c r="B3" s="4"/>
      <c r="C3" s="4"/>
      <c r="D3" s="38"/>
    </row>
    <row r="4" spans="1:4">
      <c r="A4" s="4"/>
      <c r="B4" s="4"/>
      <c r="C4" s="4"/>
      <c r="D4" s="38"/>
    </row>
    <row r="5" spans="1:4">
      <c r="A5" s="4"/>
      <c r="B5" s="4"/>
      <c r="C5" s="4"/>
      <c r="D5" s="38"/>
    </row>
    <row r="6" spans="1:4">
      <c r="A6" s="4"/>
      <c r="B6" s="4"/>
      <c r="C6" s="4"/>
      <c r="D6" s="38"/>
    </row>
    <row r="7" spans="1:4">
      <c r="A7" s="4"/>
      <c r="B7" s="4"/>
      <c r="C7" s="4"/>
      <c r="D7" s="38"/>
    </row>
    <row r="8" spans="1:4">
      <c r="A8" s="4"/>
      <c r="B8" s="4"/>
      <c r="C8" s="4"/>
      <c r="D8" s="38"/>
    </row>
    <row r="9" spans="1:4">
      <c r="A9" s="4"/>
      <c r="B9" s="4"/>
      <c r="C9" s="4"/>
    </row>
    <row r="10" spans="1:4">
      <c r="A10" s="4"/>
      <c r="B10" s="4"/>
      <c r="C10" s="4"/>
    </row>
    <row r="11" spans="1:4">
      <c r="A11" s="7" t="s">
        <v>216</v>
      </c>
      <c r="B11" s="7" t="s">
        <v>215</v>
      </c>
      <c r="C11" s="4"/>
    </row>
    <row r="12" spans="1:4">
      <c r="A12" s="37">
        <v>0.33333333333333331</v>
      </c>
      <c r="B12" s="37">
        <v>0.79166666666666663</v>
      </c>
      <c r="C12" s="4"/>
    </row>
    <row r="13" spans="1:4">
      <c r="A13" s="4"/>
      <c r="B13" s="4"/>
      <c r="C13" s="4"/>
    </row>
    <row r="14" spans="1:4">
      <c r="A14" s="7" t="s">
        <v>217</v>
      </c>
      <c r="B14" s="7" t="s">
        <v>218</v>
      </c>
      <c r="C14" s="4"/>
    </row>
    <row r="15" spans="1:4">
      <c r="A15" s="37">
        <v>0.35069444444444442</v>
      </c>
      <c r="B15" s="37">
        <v>0.70833333333333337</v>
      </c>
      <c r="C15" s="4"/>
    </row>
    <row r="16" spans="1:4">
      <c r="A16" s="4"/>
      <c r="B16" s="4"/>
      <c r="C16" s="4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T9"/>
  <sheetViews>
    <sheetView zoomScaleNormal="100" workbookViewId="0">
      <selection activeCell="S1" sqref="S1:S2"/>
    </sheetView>
  </sheetViews>
  <sheetFormatPr defaultRowHeight="18"/>
  <cols>
    <col min="1" max="1" bestFit="true" customWidth="true" style="1" width="11.9140625"/>
    <col min="2" max="3" bestFit="true" customWidth="true" width="11.08203125"/>
    <col min="4" max="6" bestFit="true" customWidth="true" width="13.9140625"/>
    <col min="7" max="8" bestFit="true" customWidth="true" width="12.5"/>
    <col min="9" max="13" bestFit="true" customWidth="true" width="15.9140625"/>
    <col min="14" max="16" bestFit="true" customWidth="true" width="16.4140625"/>
    <col min="17" max="18" bestFit="true" customWidth="true" width="13.5"/>
    <col min="19" max="19" bestFit="true" customWidth="true" width="16.1640625"/>
  </cols>
  <sheetData>
    <row r="1" spans="1:19">
      <c r="A1" s="2" t="s">
        <v>186</v>
      </c>
      <c r="B1" s="2" t="s">
        <v>194</v>
      </c>
      <c r="C1" s="2" t="s">
        <v>131</v>
      </c>
      <c r="D1" s="2" t="s">
        <v>244</v>
      </c>
      <c r="E1" s="2" t="s">
        <v>7</v>
      </c>
      <c r="F1" s="2" t="s">
        <v>130</v>
      </c>
      <c r="G1" s="2" t="s">
        <v>194</v>
      </c>
      <c r="H1" s="2" t="s">
        <v>200</v>
      </c>
      <c r="I1" s="2" t="s">
        <v>4</v>
      </c>
      <c r="J1" s="2" t="s">
        <v>130</v>
      </c>
      <c r="K1" s="2" t="s">
        <v>131</v>
      </c>
      <c r="L1" s="2" t="s">
        <v>212</v>
      </c>
      <c r="M1" s="41" t="s">
        <v>222</v>
      </c>
      <c r="N1" s="2" t="s">
        <v>5</v>
      </c>
      <c r="O1" s="2" t="s">
        <v>130</v>
      </c>
      <c r="P1" s="2" t="s">
        <v>131</v>
      </c>
      <c r="Q1" s="2" t="s">
        <v>6</v>
      </c>
      <c r="R1" s="2" t="s">
        <v>131</v>
      </c>
      <c r="S1" s="2" t="s">
        <v>245</v>
      </c>
      <c r="T1" t="s" s="0">
        <v>262</v>
      </c>
    </row>
    <row r="2" spans="1:19">
      <c r="A2" s="2" t="s">
        <v>187</v>
      </c>
      <c r="B2" s="2" t="s">
        <v>124</v>
      </c>
      <c r="C2" s="2" t="s">
        <v>124</v>
      </c>
      <c r="D2" s="33" t="s">
        <v>129</v>
      </c>
      <c r="E2" s="33" t="s">
        <v>129</v>
      </c>
      <c r="F2" s="2" t="s">
        <v>129</v>
      </c>
      <c r="G2" s="2" t="s">
        <v>125</v>
      </c>
      <c r="H2" s="2" t="s">
        <v>125</v>
      </c>
      <c r="I2" s="2" t="s">
        <v>126</v>
      </c>
      <c r="J2" s="2" t="s">
        <v>126</v>
      </c>
      <c r="K2" s="2" t="s">
        <v>126</v>
      </c>
      <c r="L2" s="2" t="s">
        <v>126</v>
      </c>
      <c r="M2" s="41" t="s">
        <v>126</v>
      </c>
      <c r="N2" s="2" t="s">
        <v>127</v>
      </c>
      <c r="O2" s="2" t="s">
        <v>127</v>
      </c>
      <c r="P2" s="2" t="s">
        <v>127</v>
      </c>
      <c r="Q2" s="2" t="s">
        <v>128</v>
      </c>
      <c r="R2" s="2" t="s">
        <v>128</v>
      </c>
      <c r="S2" s="2" t="s">
        <v>245</v>
      </c>
      <c r="T2" t="s" s="0">
        <v>125</v>
      </c>
    </row>
    <row r="3" spans="1:19">
      <c r="A3" s="5" t="s">
        <v>108</v>
      </c>
      <c r="B3" s="5"/>
      <c r="C3" s="5"/>
      <c r="D3" s="5" t="s">
        <v>246</v>
      </c>
      <c r="E3" s="5" t="s">
        <v>246</v>
      </c>
      <c r="F3" s="5" t="s">
        <v>246</v>
      </c>
      <c r="G3" s="5" t="s">
        <v>246</v>
      </c>
      <c r="H3" s="5" t="s">
        <v>246</v>
      </c>
      <c r="I3" s="5" t="s">
        <v>246</v>
      </c>
      <c r="J3" s="5" t="s">
        <v>246</v>
      </c>
      <c r="K3" s="5" t="s">
        <v>246</v>
      </c>
      <c r="L3" s="5" t="s">
        <v>246</v>
      </c>
      <c r="M3" s="5" t="s">
        <v>246</v>
      </c>
      <c r="N3" s="5" t="s">
        <v>246</v>
      </c>
      <c r="O3" s="5" t="s">
        <v>246</v>
      </c>
      <c r="P3" s="5" t="s">
        <v>246</v>
      </c>
      <c r="Q3" s="5" t="s">
        <v>246</v>
      </c>
      <c r="R3" s="5" t="s">
        <v>246</v>
      </c>
      <c r="S3" s="5" t="s">
        <v>246</v>
      </c>
      <c r="T3" t="s" s="0">
        <v>246</v>
      </c>
    </row>
    <row r="4" spans="1:19">
      <c r="A4" s="5" t="s">
        <v>109</v>
      </c>
      <c r="B4" s="5" t="s">
        <v>246</v>
      </c>
      <c r="C4" s="5" t="s">
        <v>246</v>
      </c>
      <c r="D4" s="5" t="s">
        <v>246</v>
      </c>
      <c r="E4" s="5" t="s">
        <v>246</v>
      </c>
      <c r="F4" s="5" t="s">
        <v>246</v>
      </c>
      <c r="G4" s="5" t="s">
        <v>246</v>
      </c>
      <c r="H4" s="5" t="s">
        <v>246</v>
      </c>
      <c r="I4" s="5" t="s">
        <v>246</v>
      </c>
      <c r="J4" s="5" t="s">
        <v>246</v>
      </c>
      <c r="K4" s="5" t="s">
        <v>246</v>
      </c>
      <c r="L4" s="5" t="s">
        <v>246</v>
      </c>
      <c r="M4" s="5" t="s">
        <v>246</v>
      </c>
      <c r="N4" s="5" t="s">
        <v>246</v>
      </c>
      <c r="O4" s="5" t="s">
        <v>246</v>
      </c>
      <c r="P4" s="5" t="s">
        <v>246</v>
      </c>
      <c r="Q4" s="5" t="s">
        <v>246</v>
      </c>
      <c r="R4" s="5" t="s">
        <v>246</v>
      </c>
      <c r="S4" s="5" t="s">
        <v>246</v>
      </c>
      <c r="T4" t="s" s="0">
        <v>246</v>
      </c>
    </row>
    <row r="5" spans="1:19">
      <c r="A5" s="5" t="s">
        <v>110</v>
      </c>
      <c r="B5" s="5"/>
      <c r="C5" s="5" t="s">
        <v>247</v>
      </c>
      <c r="D5" s="5" t="s">
        <v>246</v>
      </c>
      <c r="E5" s="5" t="s">
        <v>246</v>
      </c>
      <c r="F5" s="5" t="s">
        <v>246</v>
      </c>
      <c r="G5" s="5" t="s">
        <v>246</v>
      </c>
      <c r="H5" s="5" t="s">
        <v>246</v>
      </c>
      <c r="I5" s="5" t="s">
        <v>246</v>
      </c>
      <c r="J5" s="5" t="s">
        <v>246</v>
      </c>
      <c r="K5" s="5" t="s">
        <v>246</v>
      </c>
      <c r="L5" s="5" t="s">
        <v>246</v>
      </c>
      <c r="M5" s="5" t="s">
        <v>246</v>
      </c>
      <c r="N5" s="5" t="s">
        <v>246</v>
      </c>
      <c r="O5" s="5" t="s">
        <v>246</v>
      </c>
      <c r="P5" s="5" t="s">
        <v>246</v>
      </c>
      <c r="Q5" s="5" t="s">
        <v>246</v>
      </c>
      <c r="R5" s="5" t="s">
        <v>246</v>
      </c>
      <c r="S5" s="5" t="s">
        <v>246</v>
      </c>
      <c r="T5" t="s" s="0">
        <v>246</v>
      </c>
    </row>
    <row r="6" spans="1:19">
      <c r="A6" s="5" t="s">
        <v>111</v>
      </c>
      <c r="B6" s="5"/>
      <c r="C6" s="5"/>
      <c r="D6" s="5" t="s">
        <v>246</v>
      </c>
      <c r="E6" s="5" t="s">
        <v>246</v>
      </c>
      <c r="F6" s="5" t="s">
        <v>246</v>
      </c>
      <c r="G6" s="5" t="s">
        <v>246</v>
      </c>
      <c r="H6" s="5" t="s">
        <v>246</v>
      </c>
      <c r="I6" s="5" t="s">
        <v>247</v>
      </c>
      <c r="J6" s="5" t="s">
        <v>247</v>
      </c>
      <c r="K6" s="5" t="s">
        <v>247</v>
      </c>
      <c r="L6" s="5" t="s">
        <v>247</v>
      </c>
      <c r="M6" s="5" t="s">
        <v>247</v>
      </c>
      <c r="N6" s="5" t="s">
        <v>246</v>
      </c>
      <c r="O6" s="5" t="s">
        <v>246</v>
      </c>
      <c r="P6" s="5" t="s">
        <v>246</v>
      </c>
      <c r="Q6" s="5" t="s">
        <v>246</v>
      </c>
      <c r="R6" s="5" t="s">
        <v>246</v>
      </c>
      <c r="S6" s="5" t="s">
        <v>246</v>
      </c>
      <c r="T6" t="s" s="0">
        <v>246</v>
      </c>
    </row>
    <row r="7" spans="1:19">
      <c r="A7" s="5" t="s">
        <v>112</v>
      </c>
      <c r="B7" s="5" t="s">
        <v>246</v>
      </c>
      <c r="C7" s="5" t="s">
        <v>246</v>
      </c>
      <c r="D7" s="5" t="s">
        <v>246</v>
      </c>
      <c r="E7" s="5" t="s">
        <v>246</v>
      </c>
      <c r="F7" s="5" t="s">
        <v>246</v>
      </c>
      <c r="G7" s="5" t="s">
        <v>247</v>
      </c>
      <c r="H7" s="5" t="s">
        <v>247</v>
      </c>
      <c r="I7" s="5" t="s">
        <v>247</v>
      </c>
      <c r="J7" s="5" t="s">
        <v>247</v>
      </c>
      <c r="K7" s="5" t="s">
        <v>247</v>
      </c>
      <c r="L7" s="5" t="s">
        <v>247</v>
      </c>
      <c r="M7" s="5" t="s">
        <v>247</v>
      </c>
      <c r="N7" s="5" t="s">
        <v>247</v>
      </c>
      <c r="O7" s="5" t="s">
        <v>247</v>
      </c>
      <c r="P7" s="5" t="s">
        <v>247</v>
      </c>
      <c r="Q7" s="5" t="s">
        <v>247</v>
      </c>
      <c r="R7" s="5" t="s">
        <v>247</v>
      </c>
      <c r="S7" s="5" t="s">
        <v>246</v>
      </c>
      <c r="T7" t="s" s="0">
        <v>247</v>
      </c>
    </row>
    <row r="8" spans="1:19">
      <c r="A8" s="5" t="s">
        <v>113</v>
      </c>
      <c r="B8" s="5"/>
      <c r="C8" s="5"/>
      <c r="D8" s="5" t="s">
        <v>246</v>
      </c>
      <c r="E8" s="5" t="s">
        <v>246</v>
      </c>
      <c r="F8" s="5" t="s">
        <v>247</v>
      </c>
      <c r="G8" s="5" t="s">
        <v>247</v>
      </c>
      <c r="H8" s="5" t="s">
        <v>247</v>
      </c>
      <c r="I8" s="5" t="s">
        <v>247</v>
      </c>
      <c r="J8" s="5" t="s">
        <v>247</v>
      </c>
      <c r="K8" s="5" t="s">
        <v>247</v>
      </c>
      <c r="L8" s="5" t="s">
        <v>247</v>
      </c>
      <c r="M8" s="5" t="s">
        <v>247</v>
      </c>
      <c r="N8" s="5" t="s">
        <v>247</v>
      </c>
      <c r="O8" s="5" t="s">
        <v>247</v>
      </c>
      <c r="P8" s="5" t="s">
        <v>247</v>
      </c>
      <c r="Q8" s="5" t="s">
        <v>247</v>
      </c>
      <c r="R8" s="5" t="s">
        <v>247</v>
      </c>
      <c r="S8" s="5" t="s">
        <v>246</v>
      </c>
      <c r="T8" t="s" s="0">
        <v>247</v>
      </c>
    </row>
    <row r="9" spans="1:19">
      <c r="A9" s="5" t="s">
        <v>248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40"/>
      <c r="N9" s="5"/>
      <c r="O9" s="5"/>
      <c r="P9" s="5"/>
      <c r="Q9" s="5"/>
      <c r="R9" s="5"/>
      <c r="S9" s="5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L132"/>
  <sheetViews>
    <sheetView workbookViewId="0">
      <pane xSplit="1" ySplit="1" topLeftCell="B84" activePane="bottomRight" state="frozen"/>
      <selection activeCell="R5" sqref="R5"/>
      <selection pane="topRight" activeCell="R5" sqref="R5"/>
      <selection pane="bottomLeft" activeCell="R5" sqref="R5"/>
      <selection pane="bottomRight" activeCell="F117" sqref="F117"/>
    </sheetView>
  </sheetViews>
  <sheetFormatPr defaultRowHeight="18"/>
  <cols>
    <col min="1" max="1" bestFit="true" customWidth="true" width="11.1640625"/>
    <col min="2" max="2" bestFit="true" customWidth="true" width="8.33203125"/>
    <col min="3" max="3" bestFit="true" customWidth="true" width="16.33203125"/>
    <col min="4" max="4" bestFit="true" customWidth="true" width="25.0"/>
    <col min="5" max="5" bestFit="true" customWidth="true" width="8.83203125"/>
    <col min="6" max="6" bestFit="true" customWidth="true" width="12.58203125"/>
    <col min="7" max="9" bestFit="true" customWidth="true" width="11.9140625"/>
    <col min="10" max="10" bestFit="true" customWidth="true" width="5.1640625"/>
  </cols>
  <sheetData>
    <row r="1" spans="1:10">
      <c r="A1" s="34" t="s">
        <v>258</v>
      </c>
      <c r="B1" s="34" t="s">
        <v>186</v>
      </c>
      <c r="C1" s="34" t="s">
        <v>187</v>
      </c>
      <c r="D1" s="34" t="s">
        <v>188</v>
      </c>
      <c r="E1" s="34" t="s">
        <v>189</v>
      </c>
      <c r="F1" s="34" t="s">
        <v>190</v>
      </c>
      <c r="G1" s="34" t="s">
        <v>191</v>
      </c>
      <c r="H1" s="34" t="s">
        <v>192</v>
      </c>
      <c r="I1" s="34" t="s">
        <v>193</v>
      </c>
      <c r="J1" s="34" t="s">
        <v>1</v>
      </c>
      <c r="K1" t="s" s="0">
        <v>259</v>
      </c>
      <c r="L1" t="s" s="0">
        <v>260</v>
      </c>
    </row>
    <row r="2" spans="1:10">
      <c r="A2" s="35" t="n">
        <v>1.0</v>
      </c>
      <c r="B2" s="35" t="s">
        <v>194</v>
      </c>
      <c r="C2" s="35" t="s">
        <v>124</v>
      </c>
      <c r="D2" s="35" t="s">
        <v>195</v>
      </c>
      <c r="E2" s="35" t="n">
        <v>2.0</v>
      </c>
      <c r="F2" s="35" t="n">
        <v>1.0</v>
      </c>
      <c r="G2" s="35" t="s">
        <v>109</v>
      </c>
      <c r="H2" s="35" t="s">
        <v>112</v>
      </c>
      <c r="I2" s="35"/>
      <c r="J2" s="35"/>
    </row>
    <row r="3" spans="1:10">
      <c r="A3" s="36" t="n">
        <v>6.0</v>
      </c>
      <c r="B3" s="36" t="s">
        <v>131</v>
      </c>
      <c r="C3" s="36" t="s">
        <v>124</v>
      </c>
      <c r="D3" s="36" t="s">
        <v>196</v>
      </c>
      <c r="E3" s="36" t="n">
        <v>1.0</v>
      </c>
      <c r="F3" s="36" t="n">
        <v>1.0</v>
      </c>
      <c r="G3" s="36" t="s">
        <v>109</v>
      </c>
      <c r="H3" s="36"/>
      <c r="I3" s="36"/>
      <c r="J3" s="36"/>
    </row>
    <row r="4" spans="1:10">
      <c r="A4" s="36" t="n">
        <v>7.0</v>
      </c>
      <c r="B4" s="36" t="s">
        <v>131</v>
      </c>
      <c r="C4" s="36" t="s">
        <v>124</v>
      </c>
      <c r="D4" s="36" t="s">
        <v>196</v>
      </c>
      <c r="E4" s="36" t="n">
        <v>1.0</v>
      </c>
      <c r="F4" s="36" t="n">
        <v>2.0</v>
      </c>
      <c r="G4" s="36" t="s">
        <v>112</v>
      </c>
      <c r="H4" s="36"/>
      <c r="I4" s="36"/>
      <c r="J4" s="36"/>
    </row>
    <row r="5" spans="1:10">
      <c r="A5" s="35" t="n">
        <v>8.0</v>
      </c>
      <c r="B5" s="35" t="s">
        <v>194</v>
      </c>
      <c r="C5" s="35" t="s">
        <v>125</v>
      </c>
      <c r="D5" s="35" t="s">
        <v>199</v>
      </c>
      <c r="E5" s="35" t="n">
        <v>3.0</v>
      </c>
      <c r="F5" s="35" t="n">
        <v>1.0</v>
      </c>
      <c r="G5" s="35" t="s">
        <v>110</v>
      </c>
      <c r="H5" s="35" t="s">
        <v>111</v>
      </c>
      <c r="I5" s="35" t="s">
        <v>112</v>
      </c>
      <c r="J5" s="35"/>
    </row>
    <row r="6" spans="1:10">
      <c r="A6" s="35" t="n">
        <v>9.0</v>
      </c>
      <c r="B6" s="35" t="s">
        <v>194</v>
      </c>
      <c r="C6" s="35" t="s">
        <v>125</v>
      </c>
      <c r="D6" s="35" t="s">
        <v>199</v>
      </c>
      <c r="E6" s="35" t="n">
        <v>3.0</v>
      </c>
      <c r="F6" s="35" t="n">
        <v>2.0</v>
      </c>
      <c r="G6" s="35" t="s">
        <v>110</v>
      </c>
      <c r="H6" s="35" t="s">
        <v>108</v>
      </c>
      <c r="I6" s="35" t="s">
        <v>112</v>
      </c>
      <c r="J6" s="35"/>
    </row>
    <row r="7" spans="1:10">
      <c r="A7" s="35" t="n">
        <v>10.0</v>
      </c>
      <c r="B7" s="35" t="s">
        <v>194</v>
      </c>
      <c r="C7" s="35" t="s">
        <v>125</v>
      </c>
      <c r="D7" s="35" t="s">
        <v>199</v>
      </c>
      <c r="E7" s="35" t="n">
        <v>3.0</v>
      </c>
      <c r="F7" s="35" t="n">
        <v>3.0</v>
      </c>
      <c r="G7" s="35" t="s">
        <v>108</v>
      </c>
      <c r="H7" s="35" t="s">
        <v>111</v>
      </c>
      <c r="I7" s="35" t="s">
        <v>112</v>
      </c>
      <c r="J7" s="35"/>
    </row>
    <row r="8" spans="1:10">
      <c r="A8" s="35" t="n">
        <v>11.0</v>
      </c>
      <c r="B8" s="35" t="s">
        <v>194</v>
      </c>
      <c r="C8" s="35" t="s">
        <v>125</v>
      </c>
      <c r="D8" s="35" t="s">
        <v>199</v>
      </c>
      <c r="E8" s="35" t="n">
        <v>3.0</v>
      </c>
      <c r="F8" s="35" t="n">
        <v>4.0</v>
      </c>
      <c r="G8" s="35" t="s">
        <v>110</v>
      </c>
      <c r="H8" s="35" t="s">
        <v>109</v>
      </c>
      <c r="I8" s="35" t="s">
        <v>112</v>
      </c>
      <c r="J8" s="35"/>
    </row>
    <row r="9" spans="1:10">
      <c r="A9" s="35" t="n">
        <v>12.0</v>
      </c>
      <c r="B9" s="35" t="s">
        <v>194</v>
      </c>
      <c r="C9" s="35" t="s">
        <v>125</v>
      </c>
      <c r="D9" s="35" t="s">
        <v>199</v>
      </c>
      <c r="E9" s="35" t="n">
        <v>3.0</v>
      </c>
      <c r="F9" s="35" t="n">
        <v>5.0</v>
      </c>
      <c r="G9" s="35" t="s">
        <v>110</v>
      </c>
      <c r="H9" s="35" t="s">
        <v>111</v>
      </c>
      <c r="I9" s="35" t="s">
        <v>113</v>
      </c>
      <c r="J9" s="35"/>
    </row>
    <row r="10" spans="1:10">
      <c r="A10" s="35" t="n">
        <v>13.0</v>
      </c>
      <c r="B10" s="35" t="s">
        <v>194</v>
      </c>
      <c r="C10" s="35" t="s">
        <v>125</v>
      </c>
      <c r="D10" s="35" t="s">
        <v>199</v>
      </c>
      <c r="E10" s="35" t="n">
        <v>3.0</v>
      </c>
      <c r="F10" s="35" t="n">
        <v>6.0</v>
      </c>
      <c r="G10" s="35" t="s">
        <v>110</v>
      </c>
      <c r="H10" s="35" t="s">
        <v>108</v>
      </c>
      <c r="I10" s="35" t="s">
        <v>111</v>
      </c>
      <c r="J10" s="35"/>
    </row>
    <row r="11" spans="1:10">
      <c r="A11" s="35" t="n">
        <v>14.0</v>
      </c>
      <c r="B11" s="35" t="s">
        <v>194</v>
      </c>
      <c r="C11" s="35" t="s">
        <v>125</v>
      </c>
      <c r="D11" s="35" t="s">
        <v>199</v>
      </c>
      <c r="E11" s="35" t="n">
        <v>3.0</v>
      </c>
      <c r="F11" s="35" t="n">
        <v>7.0</v>
      </c>
      <c r="G11" s="35" t="s">
        <v>108</v>
      </c>
      <c r="H11" s="35" t="s">
        <v>111</v>
      </c>
      <c r="I11" s="35" t="s">
        <v>113</v>
      </c>
      <c r="J11" s="35"/>
    </row>
    <row r="12" spans="1:10">
      <c r="A12" s="35" t="n">
        <v>15.0</v>
      </c>
      <c r="B12" s="35" t="s">
        <v>194</v>
      </c>
      <c r="C12" s="35" t="s">
        <v>125</v>
      </c>
      <c r="D12" s="35" t="s">
        <v>199</v>
      </c>
      <c r="E12" s="35" t="n">
        <v>3.0</v>
      </c>
      <c r="F12" s="35" t="n">
        <v>8.0</v>
      </c>
      <c r="G12" s="35" t="s">
        <v>108</v>
      </c>
      <c r="H12" s="35" t="s">
        <v>109</v>
      </c>
      <c r="I12" s="35" t="s">
        <v>111</v>
      </c>
      <c r="J12" s="35"/>
    </row>
    <row r="13" spans="1:10">
      <c r="A13" s="35" t="n">
        <v>16.0</v>
      </c>
      <c r="B13" s="35" t="s">
        <v>194</v>
      </c>
      <c r="C13" s="35" t="s">
        <v>125</v>
      </c>
      <c r="D13" s="35" t="s">
        <v>199</v>
      </c>
      <c r="E13" s="35" t="n">
        <v>3.0</v>
      </c>
      <c r="F13" s="35" t="n">
        <v>9.0</v>
      </c>
      <c r="G13" s="35" t="s">
        <v>110</v>
      </c>
      <c r="H13" s="35" t="s">
        <v>108</v>
      </c>
      <c r="I13" s="35" t="s">
        <v>113</v>
      </c>
      <c r="J13" s="35"/>
    </row>
    <row r="14" spans="1:10">
      <c r="A14" s="35" t="n">
        <v>17.0</v>
      </c>
      <c r="B14" s="35" t="s">
        <v>194</v>
      </c>
      <c r="C14" s="35" t="s">
        <v>125</v>
      </c>
      <c r="D14" s="35" t="s">
        <v>199</v>
      </c>
      <c r="E14" s="35" t="n">
        <v>3.0</v>
      </c>
      <c r="F14" s="35" t="n">
        <v>10.0</v>
      </c>
      <c r="G14" s="35" t="s">
        <v>110</v>
      </c>
      <c r="H14" s="35" t="s">
        <v>112</v>
      </c>
      <c r="I14" s="35" t="s">
        <v>113</v>
      </c>
      <c r="J14" s="35"/>
    </row>
    <row r="15" spans="1:10">
      <c r="A15" s="35" t="n">
        <v>18.0</v>
      </c>
      <c r="B15" s="35" t="s">
        <v>194</v>
      </c>
      <c r="C15" s="35" t="s">
        <v>125</v>
      </c>
      <c r="D15" s="35" t="s">
        <v>199</v>
      </c>
      <c r="E15" s="35" t="n">
        <v>3.0</v>
      </c>
      <c r="F15" s="35" t="n">
        <v>11.0</v>
      </c>
      <c r="G15" s="35" t="s">
        <v>108</v>
      </c>
      <c r="H15" s="35" t="s">
        <v>112</v>
      </c>
      <c r="I15" s="35" t="s">
        <v>113</v>
      </c>
      <c r="J15" s="35"/>
    </row>
    <row r="16" spans="1:10">
      <c r="A16" s="35" t="n">
        <v>19.0</v>
      </c>
      <c r="B16" s="35" t="s">
        <v>194</v>
      </c>
      <c r="C16" s="35" t="s">
        <v>125</v>
      </c>
      <c r="D16" s="35" t="s">
        <v>199</v>
      </c>
      <c r="E16" s="35" t="n">
        <v>3.0</v>
      </c>
      <c r="F16" s="35" t="n">
        <v>12.0</v>
      </c>
      <c r="G16" s="35" t="s">
        <v>110</v>
      </c>
      <c r="H16" s="35" t="s">
        <v>108</v>
      </c>
      <c r="I16" s="35" t="s">
        <v>109</v>
      </c>
      <c r="J16" s="35"/>
    </row>
    <row r="17" spans="1:10">
      <c r="A17" s="35" t="n">
        <v>20.0</v>
      </c>
      <c r="B17" s="35" t="s">
        <v>194</v>
      </c>
      <c r="C17" s="35" t="s">
        <v>125</v>
      </c>
      <c r="D17" s="35" t="s">
        <v>199</v>
      </c>
      <c r="E17" s="35" t="n">
        <v>3.0</v>
      </c>
      <c r="F17" s="35" t="n">
        <v>13.0</v>
      </c>
      <c r="G17" s="35" t="s">
        <v>110</v>
      </c>
      <c r="H17" s="35" t="s">
        <v>109</v>
      </c>
      <c r="I17" s="35" t="s">
        <v>111</v>
      </c>
      <c r="J17" s="35"/>
    </row>
    <row r="18" spans="1:10">
      <c r="A18" s="35" t="n">
        <v>21.0</v>
      </c>
      <c r="B18" s="35" t="s">
        <v>194</v>
      </c>
      <c r="C18" s="35" t="s">
        <v>125</v>
      </c>
      <c r="D18" s="35" t="s">
        <v>199</v>
      </c>
      <c r="E18" s="35" t="n">
        <v>3.0</v>
      </c>
      <c r="F18" s="35" t="n">
        <v>14.0</v>
      </c>
      <c r="G18" s="35" t="s">
        <v>110</v>
      </c>
      <c r="H18" s="35" t="s">
        <v>109</v>
      </c>
      <c r="I18" s="35" t="s">
        <v>113</v>
      </c>
      <c r="J18" s="35"/>
    </row>
    <row r="19" spans="1:10">
      <c r="A19" s="35" t="n">
        <v>22.0</v>
      </c>
      <c r="B19" s="35" t="s">
        <v>194</v>
      </c>
      <c r="C19" s="35" t="s">
        <v>125</v>
      </c>
      <c r="D19" s="35" t="s">
        <v>199</v>
      </c>
      <c r="E19" s="35" t="n">
        <v>3.0</v>
      </c>
      <c r="F19" s="35" t="n">
        <v>15.0</v>
      </c>
      <c r="G19" s="35" t="s">
        <v>108</v>
      </c>
      <c r="H19" s="35" t="s">
        <v>109</v>
      </c>
      <c r="I19" s="35" t="s">
        <v>112</v>
      </c>
      <c r="J19" s="35"/>
    </row>
    <row r="20" spans="1:10">
      <c r="A20" s="35" t="n">
        <v>23.0</v>
      </c>
      <c r="B20" s="35" t="s">
        <v>194</v>
      </c>
      <c r="C20" s="35" t="s">
        <v>125</v>
      </c>
      <c r="D20" s="35" t="s">
        <v>199</v>
      </c>
      <c r="E20" s="35" t="n">
        <v>3.0</v>
      </c>
      <c r="F20" s="35" t="n">
        <v>16.0</v>
      </c>
      <c r="G20" s="35" t="s">
        <v>111</v>
      </c>
      <c r="H20" s="35" t="s">
        <v>112</v>
      </c>
      <c r="I20" s="35" t="s">
        <v>113</v>
      </c>
      <c r="J20" s="35"/>
    </row>
    <row r="21" spans="1:10">
      <c r="A21" s="35" t="n">
        <v>24.0</v>
      </c>
      <c r="B21" s="35" t="s">
        <v>194</v>
      </c>
      <c r="C21" s="35" t="s">
        <v>125</v>
      </c>
      <c r="D21" s="35" t="s">
        <v>199</v>
      </c>
      <c r="E21" s="35" t="n">
        <v>3.0</v>
      </c>
      <c r="F21" s="35" t="n">
        <v>17.0</v>
      </c>
      <c r="G21" s="35" t="s">
        <v>108</v>
      </c>
      <c r="H21" s="35" t="s">
        <v>109</v>
      </c>
      <c r="I21" s="35" t="s">
        <v>113</v>
      </c>
      <c r="J21" s="35"/>
    </row>
    <row r="22" spans="1:10">
      <c r="A22" s="35" t="n">
        <v>25.0</v>
      </c>
      <c r="B22" s="35" t="s">
        <v>194</v>
      </c>
      <c r="C22" s="35" t="s">
        <v>125</v>
      </c>
      <c r="D22" s="35" t="s">
        <v>199</v>
      </c>
      <c r="E22" s="35" t="n">
        <v>3.0</v>
      </c>
      <c r="F22" s="35" t="n">
        <v>18.0</v>
      </c>
      <c r="G22" s="35" t="s">
        <v>109</v>
      </c>
      <c r="H22" s="35" t="s">
        <v>111</v>
      </c>
      <c r="I22" s="35" t="s">
        <v>112</v>
      </c>
      <c r="J22" s="35"/>
    </row>
    <row r="23" spans="1:10">
      <c r="A23" s="35" t="n">
        <v>26.0</v>
      </c>
      <c r="B23" s="35" t="s">
        <v>194</v>
      </c>
      <c r="C23" s="35" t="s">
        <v>125</v>
      </c>
      <c r="D23" s="35" t="s">
        <v>199</v>
      </c>
      <c r="E23" s="35" t="n">
        <v>3.0</v>
      </c>
      <c r="F23" s="35" t="n">
        <v>19.0</v>
      </c>
      <c r="G23" s="35" t="s">
        <v>109</v>
      </c>
      <c r="H23" s="35" t="s">
        <v>111</v>
      </c>
      <c r="I23" s="35" t="s">
        <v>113</v>
      </c>
      <c r="J23" s="35"/>
    </row>
    <row r="24" spans="1:10">
      <c r="A24" s="35" t="n">
        <v>27.0</v>
      </c>
      <c r="B24" s="35" t="s">
        <v>194</v>
      </c>
      <c r="C24" s="35" t="s">
        <v>125</v>
      </c>
      <c r="D24" s="35" t="s">
        <v>199</v>
      </c>
      <c r="E24" s="35" t="n">
        <v>3.0</v>
      </c>
      <c r="F24" s="35" t="n">
        <v>20.0</v>
      </c>
      <c r="G24" s="35" t="s">
        <v>109</v>
      </c>
      <c r="H24" s="35" t="s">
        <v>112</v>
      </c>
      <c r="I24" s="35" t="s">
        <v>113</v>
      </c>
      <c r="J24" s="35"/>
    </row>
    <row r="25" spans="1:10">
      <c r="A25" s="36" t="n">
        <v>28.0</v>
      </c>
      <c r="B25" s="36" t="s">
        <v>200</v>
      </c>
      <c r="C25" s="36" t="s">
        <v>125</v>
      </c>
      <c r="D25" s="36" t="s">
        <v>201</v>
      </c>
      <c r="E25" s="36" t="n">
        <v>3.0</v>
      </c>
      <c r="F25" s="36" t="n">
        <v>1.0</v>
      </c>
      <c r="G25" s="36" t="s">
        <v>110</v>
      </c>
      <c r="H25" s="36" t="s">
        <v>112</v>
      </c>
      <c r="I25" s="36" t="s">
        <v>113</v>
      </c>
      <c r="J25" s="36"/>
    </row>
    <row r="26" spans="1:10">
      <c r="A26" s="36" t="n">
        <v>29.0</v>
      </c>
      <c r="B26" s="36" t="s">
        <v>200</v>
      </c>
      <c r="C26" s="36" t="s">
        <v>125</v>
      </c>
      <c r="D26" s="36" t="s">
        <v>201</v>
      </c>
      <c r="E26" s="36" t="n">
        <v>3.0</v>
      </c>
      <c r="F26" s="36" t="n">
        <v>2.0</v>
      </c>
      <c r="G26" s="36" t="s">
        <v>110</v>
      </c>
      <c r="H26" s="36" t="s">
        <v>109</v>
      </c>
      <c r="I26" s="36" t="s">
        <v>113</v>
      </c>
      <c r="J26" s="36"/>
    </row>
    <row r="27" spans="1:10">
      <c r="A27" s="36" t="n">
        <v>30.0</v>
      </c>
      <c r="B27" s="36" t="s">
        <v>200</v>
      </c>
      <c r="C27" s="36" t="s">
        <v>125</v>
      </c>
      <c r="D27" s="36" t="s">
        <v>201</v>
      </c>
      <c r="E27" s="36" t="n">
        <v>3.0</v>
      </c>
      <c r="F27" s="36" t="n">
        <v>3.0</v>
      </c>
      <c r="G27" s="36" t="s">
        <v>110</v>
      </c>
      <c r="H27" s="36" t="s">
        <v>109</v>
      </c>
      <c r="I27" s="36" t="s">
        <v>112</v>
      </c>
      <c r="J27" s="36"/>
    </row>
    <row r="28" spans="1:10">
      <c r="A28" s="36" t="n">
        <v>31.0</v>
      </c>
      <c r="B28" s="36" t="s">
        <v>200</v>
      </c>
      <c r="C28" s="36" t="s">
        <v>125</v>
      </c>
      <c r="D28" s="36" t="s">
        <v>201</v>
      </c>
      <c r="E28" s="36" t="n">
        <v>3.0</v>
      </c>
      <c r="F28" s="36" t="n">
        <v>4.0</v>
      </c>
      <c r="G28" s="36" t="s">
        <v>110</v>
      </c>
      <c r="H28" s="36" t="s">
        <v>111</v>
      </c>
      <c r="I28" s="36" t="s">
        <v>113</v>
      </c>
      <c r="J28" s="36"/>
    </row>
    <row r="29" spans="1:10">
      <c r="A29" s="36" t="n">
        <v>32.0</v>
      </c>
      <c r="B29" s="36" t="s">
        <v>200</v>
      </c>
      <c r="C29" s="36" t="s">
        <v>125</v>
      </c>
      <c r="D29" s="36" t="s">
        <v>201</v>
      </c>
      <c r="E29" s="36" t="n">
        <v>3.0</v>
      </c>
      <c r="F29" s="36" t="n">
        <v>5.0</v>
      </c>
      <c r="G29" s="36" t="s">
        <v>110</v>
      </c>
      <c r="H29" s="36" t="s">
        <v>111</v>
      </c>
      <c r="I29" s="36" t="s">
        <v>112</v>
      </c>
      <c r="J29" s="36"/>
    </row>
    <row r="30" spans="1:10">
      <c r="A30" s="36" t="n">
        <v>33.0</v>
      </c>
      <c r="B30" s="36" t="s">
        <v>200</v>
      </c>
      <c r="C30" s="36" t="s">
        <v>125</v>
      </c>
      <c r="D30" s="36" t="s">
        <v>201</v>
      </c>
      <c r="E30" s="36" t="n">
        <v>3.0</v>
      </c>
      <c r="F30" s="36" t="n">
        <v>6.0</v>
      </c>
      <c r="G30" s="36" t="s">
        <v>108</v>
      </c>
      <c r="H30" s="36" t="s">
        <v>112</v>
      </c>
      <c r="I30" s="36" t="s">
        <v>113</v>
      </c>
      <c r="J30" s="36"/>
    </row>
    <row r="31" spans="1:10">
      <c r="A31" s="36" t="n">
        <v>34.0</v>
      </c>
      <c r="B31" s="36" t="s">
        <v>200</v>
      </c>
      <c r="C31" s="36" t="s">
        <v>125</v>
      </c>
      <c r="D31" s="36" t="s">
        <v>201</v>
      </c>
      <c r="E31" s="36" t="n">
        <v>3.0</v>
      </c>
      <c r="F31" s="36" t="n">
        <v>7.0</v>
      </c>
      <c r="G31" s="36" t="s">
        <v>110</v>
      </c>
      <c r="H31" s="36" t="s">
        <v>109</v>
      </c>
      <c r="I31" s="36" t="s">
        <v>111</v>
      </c>
      <c r="J31" s="36"/>
    </row>
    <row r="32" spans="1:10">
      <c r="A32" s="36" t="n">
        <v>35.0</v>
      </c>
      <c r="B32" s="36" t="s">
        <v>200</v>
      </c>
      <c r="C32" s="36" t="s">
        <v>125</v>
      </c>
      <c r="D32" s="36" t="s">
        <v>201</v>
      </c>
      <c r="E32" s="36" t="n">
        <v>3.0</v>
      </c>
      <c r="F32" s="36" t="n">
        <v>8.0</v>
      </c>
      <c r="G32" s="36" t="s">
        <v>109</v>
      </c>
      <c r="H32" s="36" t="s">
        <v>111</v>
      </c>
      <c r="I32" s="36" t="s">
        <v>113</v>
      </c>
      <c r="J32" s="36"/>
    </row>
    <row r="33" spans="1:10">
      <c r="A33" s="36" t="n">
        <v>36.0</v>
      </c>
      <c r="B33" s="36" t="s">
        <v>200</v>
      </c>
      <c r="C33" s="36" t="s">
        <v>125</v>
      </c>
      <c r="D33" s="36" t="s">
        <v>201</v>
      </c>
      <c r="E33" s="36" t="n">
        <v>3.0</v>
      </c>
      <c r="F33" s="36" t="n">
        <v>9.0</v>
      </c>
      <c r="G33" s="36" t="s">
        <v>109</v>
      </c>
      <c r="H33" s="36" t="s">
        <v>111</v>
      </c>
      <c r="I33" s="36" t="s">
        <v>112</v>
      </c>
      <c r="J33" s="36"/>
    </row>
    <row r="34" spans="1:10">
      <c r="A34" s="36" t="n">
        <v>37.0</v>
      </c>
      <c r="B34" s="36" t="s">
        <v>200</v>
      </c>
      <c r="C34" s="36" t="s">
        <v>125</v>
      </c>
      <c r="D34" s="36" t="s">
        <v>201</v>
      </c>
      <c r="E34" s="36" t="n">
        <v>3.0</v>
      </c>
      <c r="F34" s="36" t="n">
        <v>10.0</v>
      </c>
      <c r="G34" s="36" t="s">
        <v>109</v>
      </c>
      <c r="H34" s="36" t="s">
        <v>112</v>
      </c>
      <c r="I34" s="36" t="s">
        <v>113</v>
      </c>
      <c r="J34" s="36"/>
    </row>
    <row r="35" spans="1:10">
      <c r="A35" s="36" t="n">
        <v>38.0</v>
      </c>
      <c r="B35" s="36" t="s">
        <v>200</v>
      </c>
      <c r="C35" s="36" t="s">
        <v>125</v>
      </c>
      <c r="D35" s="36" t="s">
        <v>201</v>
      </c>
      <c r="E35" s="36" t="n">
        <v>3.0</v>
      </c>
      <c r="F35" s="36" t="n">
        <v>11.0</v>
      </c>
      <c r="G35" s="36" t="s">
        <v>111</v>
      </c>
      <c r="H35" s="36" t="s">
        <v>112</v>
      </c>
      <c r="I35" s="36" t="s">
        <v>113</v>
      </c>
      <c r="J35" s="36"/>
    </row>
    <row r="36" spans="1:10">
      <c r="A36" s="36" t="n">
        <v>39.0</v>
      </c>
      <c r="B36" s="36" t="s">
        <v>200</v>
      </c>
      <c r="C36" s="36" t="s">
        <v>125</v>
      </c>
      <c r="D36" s="36" t="s">
        <v>201</v>
      </c>
      <c r="E36" s="36" t="n">
        <v>3.0</v>
      </c>
      <c r="F36" s="36" t="n">
        <v>12.0</v>
      </c>
      <c r="G36" s="36" t="s">
        <v>110</v>
      </c>
      <c r="H36" s="36" t="s">
        <v>108</v>
      </c>
      <c r="I36" s="36" t="s">
        <v>113</v>
      </c>
      <c r="J36" s="36"/>
    </row>
    <row r="37" spans="1:10">
      <c r="A37" s="36" t="n">
        <v>40.0</v>
      </c>
      <c r="B37" s="36" t="s">
        <v>200</v>
      </c>
      <c r="C37" s="36" t="s">
        <v>125</v>
      </c>
      <c r="D37" s="36" t="s">
        <v>201</v>
      </c>
      <c r="E37" s="36" t="n">
        <v>3.0</v>
      </c>
      <c r="F37" s="36" t="n">
        <v>13.0</v>
      </c>
      <c r="G37" s="36" t="s">
        <v>110</v>
      </c>
      <c r="H37" s="36" t="s">
        <v>108</v>
      </c>
      <c r="I37" s="36" t="s">
        <v>112</v>
      </c>
      <c r="J37" s="36"/>
    </row>
    <row r="38" spans="1:10">
      <c r="A38" s="36" t="n">
        <v>41.0</v>
      </c>
      <c r="B38" s="36" t="s">
        <v>200</v>
      </c>
      <c r="C38" s="36" t="s">
        <v>125</v>
      </c>
      <c r="D38" s="36" t="s">
        <v>201</v>
      </c>
      <c r="E38" s="36" t="n">
        <v>3.0</v>
      </c>
      <c r="F38" s="36" t="n">
        <v>14.0</v>
      </c>
      <c r="G38" s="36" t="s">
        <v>110</v>
      </c>
      <c r="H38" s="36" t="s">
        <v>108</v>
      </c>
      <c r="I38" s="36" t="s">
        <v>109</v>
      </c>
      <c r="J38" s="36"/>
    </row>
    <row r="39" spans="1:10">
      <c r="A39" s="36" t="n">
        <v>42.0</v>
      </c>
      <c r="B39" s="36" t="s">
        <v>200</v>
      </c>
      <c r="C39" s="36" t="s">
        <v>125</v>
      </c>
      <c r="D39" s="36" t="s">
        <v>201</v>
      </c>
      <c r="E39" s="36" t="n">
        <v>3.0</v>
      </c>
      <c r="F39" s="36" t="n">
        <v>15.0</v>
      </c>
      <c r="G39" s="36" t="s">
        <v>110</v>
      </c>
      <c r="H39" s="36" t="s">
        <v>108</v>
      </c>
      <c r="I39" s="36" t="s">
        <v>111</v>
      </c>
      <c r="J39" s="36"/>
    </row>
    <row r="40" spans="1:10">
      <c r="A40" s="36" t="n">
        <v>43.0</v>
      </c>
      <c r="B40" s="36" t="s">
        <v>200</v>
      </c>
      <c r="C40" s="36" t="s">
        <v>125</v>
      </c>
      <c r="D40" s="36" t="s">
        <v>201</v>
      </c>
      <c r="E40" s="36" t="n">
        <v>3.0</v>
      </c>
      <c r="F40" s="36" t="n">
        <v>16.0</v>
      </c>
      <c r="G40" s="36" t="s">
        <v>108</v>
      </c>
      <c r="H40" s="36" t="s">
        <v>109</v>
      </c>
      <c r="I40" s="36" t="s">
        <v>113</v>
      </c>
      <c r="J40" s="36"/>
    </row>
    <row r="41" spans="1:10">
      <c r="A41" s="36" t="n">
        <v>44.0</v>
      </c>
      <c r="B41" s="36" t="s">
        <v>200</v>
      </c>
      <c r="C41" s="36" t="s">
        <v>125</v>
      </c>
      <c r="D41" s="36" t="s">
        <v>201</v>
      </c>
      <c r="E41" s="36" t="n">
        <v>3.0</v>
      </c>
      <c r="F41" s="36" t="n">
        <v>17.0</v>
      </c>
      <c r="G41" s="36" t="s">
        <v>108</v>
      </c>
      <c r="H41" s="36" t="s">
        <v>111</v>
      </c>
      <c r="I41" s="36" t="s">
        <v>113</v>
      </c>
      <c r="J41" s="36"/>
    </row>
    <row r="42" spans="1:10">
      <c r="A42" s="36" t="n">
        <v>45.0</v>
      </c>
      <c r="B42" s="36" t="s">
        <v>200</v>
      </c>
      <c r="C42" s="36" t="s">
        <v>125</v>
      </c>
      <c r="D42" s="36" t="s">
        <v>201</v>
      </c>
      <c r="E42" s="36" t="n">
        <v>3.0</v>
      </c>
      <c r="F42" s="36" t="n">
        <v>18.0</v>
      </c>
      <c r="G42" s="36" t="s">
        <v>108</v>
      </c>
      <c r="H42" s="36" t="s">
        <v>109</v>
      </c>
      <c r="I42" s="36" t="s">
        <v>112</v>
      </c>
      <c r="J42" s="36"/>
    </row>
    <row r="43" spans="1:10">
      <c r="A43" s="36" t="n">
        <v>46.0</v>
      </c>
      <c r="B43" s="36" t="s">
        <v>200</v>
      </c>
      <c r="C43" s="36" t="s">
        <v>125</v>
      </c>
      <c r="D43" s="36" t="s">
        <v>201</v>
      </c>
      <c r="E43" s="36" t="n">
        <v>3.0</v>
      </c>
      <c r="F43" s="36" t="n">
        <v>19.0</v>
      </c>
      <c r="G43" s="36" t="s">
        <v>108</v>
      </c>
      <c r="H43" s="36" t="s">
        <v>111</v>
      </c>
      <c r="I43" s="36" t="s">
        <v>112</v>
      </c>
      <c r="J43" s="36"/>
    </row>
    <row r="44" spans="1:10">
      <c r="A44" s="36" t="n">
        <v>47.0</v>
      </c>
      <c r="B44" s="36" t="s">
        <v>200</v>
      </c>
      <c r="C44" s="36" t="s">
        <v>125</v>
      </c>
      <c r="D44" s="36" t="s">
        <v>201</v>
      </c>
      <c r="E44" s="36" t="n">
        <v>3.0</v>
      </c>
      <c r="F44" s="36" t="n">
        <v>20.0</v>
      </c>
      <c r="G44" s="36" t="s">
        <v>108</v>
      </c>
      <c r="H44" s="36" t="s">
        <v>109</v>
      </c>
      <c r="I44" s="36" t="s">
        <v>111</v>
      </c>
      <c r="J44" s="36"/>
    </row>
    <row r="45" spans="1:10">
      <c r="A45" s="35" t="n">
        <v>48.0</v>
      </c>
      <c r="B45" s="35" t="s">
        <v>6</v>
      </c>
      <c r="C45" s="35" t="s">
        <v>128</v>
      </c>
      <c r="D45" s="35" t="s">
        <v>208</v>
      </c>
      <c r="E45" s="35" t="n">
        <v>2.0</v>
      </c>
      <c r="F45" s="35" t="n">
        <v>1.0</v>
      </c>
      <c r="G45" s="35" t="s">
        <v>110</v>
      </c>
      <c r="H45" s="35" t="s">
        <v>113</v>
      </c>
      <c r="I45" s="35"/>
      <c r="J45" s="35"/>
    </row>
    <row r="46" spans="1:10">
      <c r="A46" s="35" t="n">
        <v>49.0</v>
      </c>
      <c r="B46" s="35" t="s">
        <v>6</v>
      </c>
      <c r="C46" s="35" t="s">
        <v>128</v>
      </c>
      <c r="D46" s="35" t="s">
        <v>208</v>
      </c>
      <c r="E46" s="35" t="n">
        <v>2.0</v>
      </c>
      <c r="F46" s="35" t="n">
        <v>2.0</v>
      </c>
      <c r="G46" s="35" t="s">
        <v>111</v>
      </c>
      <c r="H46" s="35" t="s">
        <v>113</v>
      </c>
      <c r="I46" s="35"/>
      <c r="J46" s="35"/>
    </row>
    <row r="47" spans="1:10">
      <c r="A47" s="35" t="n">
        <v>50.0</v>
      </c>
      <c r="B47" s="35" t="s">
        <v>6</v>
      </c>
      <c r="C47" s="35" t="s">
        <v>128</v>
      </c>
      <c r="D47" s="35" t="s">
        <v>208</v>
      </c>
      <c r="E47" s="35" t="n">
        <v>2.0</v>
      </c>
      <c r="F47" s="35" t="n">
        <v>3.0</v>
      </c>
      <c r="G47" s="35" t="s">
        <v>111</v>
      </c>
      <c r="H47" s="35" t="s">
        <v>112</v>
      </c>
      <c r="I47" s="35"/>
      <c r="J47" s="35"/>
    </row>
    <row r="48" spans="1:10">
      <c r="A48" s="35" t="n">
        <v>51.0</v>
      </c>
      <c r="B48" s="35" t="s">
        <v>6</v>
      </c>
      <c r="C48" s="35" t="s">
        <v>128</v>
      </c>
      <c r="D48" s="35" t="s">
        <v>208</v>
      </c>
      <c r="E48" s="35" t="n">
        <v>2.0</v>
      </c>
      <c r="F48" s="35" t="n">
        <v>4.0</v>
      </c>
      <c r="G48" s="35" t="s">
        <v>110</v>
      </c>
      <c r="H48" s="35" t="s">
        <v>112</v>
      </c>
      <c r="I48" s="35"/>
      <c r="J48" s="35"/>
    </row>
    <row r="49" spans="1:10">
      <c r="A49" s="35" t="n">
        <v>52.0</v>
      </c>
      <c r="B49" s="35" t="s">
        <v>6</v>
      </c>
      <c r="C49" s="35" t="s">
        <v>128</v>
      </c>
      <c r="D49" s="35" t="s">
        <v>208</v>
      </c>
      <c r="E49" s="35" t="n">
        <v>2.0</v>
      </c>
      <c r="F49" s="35" t="n">
        <v>5.0</v>
      </c>
      <c r="G49" s="35" t="s">
        <v>109</v>
      </c>
      <c r="H49" s="35" t="s">
        <v>113</v>
      </c>
      <c r="I49" s="35"/>
      <c r="J49" s="35"/>
    </row>
    <row r="50" spans="1:10">
      <c r="A50" s="35" t="n">
        <v>53.0</v>
      </c>
      <c r="B50" s="35" t="s">
        <v>6</v>
      </c>
      <c r="C50" s="35" t="s">
        <v>128</v>
      </c>
      <c r="D50" s="35" t="s">
        <v>208</v>
      </c>
      <c r="E50" s="35" t="n">
        <v>2.0</v>
      </c>
      <c r="F50" s="35" t="n">
        <v>6.0</v>
      </c>
      <c r="G50" s="35" t="s">
        <v>109</v>
      </c>
      <c r="H50" s="35" t="s">
        <v>112</v>
      </c>
      <c r="I50" s="35"/>
      <c r="J50" s="35"/>
    </row>
    <row r="51" spans="1:10">
      <c r="A51" s="35" t="n">
        <v>54.0</v>
      </c>
      <c r="B51" s="35" t="s">
        <v>6</v>
      </c>
      <c r="C51" s="35" t="s">
        <v>128</v>
      </c>
      <c r="D51" s="35" t="s">
        <v>208</v>
      </c>
      <c r="E51" s="35" t="n">
        <v>2.0</v>
      </c>
      <c r="F51" s="35" t="n">
        <v>7.0</v>
      </c>
      <c r="G51" s="35" t="s">
        <v>108</v>
      </c>
      <c r="H51" s="35" t="s">
        <v>113</v>
      </c>
      <c r="I51" s="35"/>
      <c r="J51" s="35"/>
    </row>
    <row r="52" spans="1:10">
      <c r="A52" s="35" t="n">
        <v>55.0</v>
      </c>
      <c r="B52" s="35" t="s">
        <v>6</v>
      </c>
      <c r="C52" s="35" t="s">
        <v>128</v>
      </c>
      <c r="D52" s="35" t="s">
        <v>208</v>
      </c>
      <c r="E52" s="35" t="n">
        <v>2.0</v>
      </c>
      <c r="F52" s="35" t="n">
        <v>8.0</v>
      </c>
      <c r="G52" s="35" t="s">
        <v>108</v>
      </c>
      <c r="H52" s="35" t="s">
        <v>112</v>
      </c>
      <c r="I52" s="35"/>
      <c r="J52" s="35"/>
    </row>
    <row r="53" spans="1:10">
      <c r="A53" s="35" t="n">
        <v>56.0</v>
      </c>
      <c r="B53" s="35" t="s">
        <v>6</v>
      </c>
      <c r="C53" s="35" t="s">
        <v>128</v>
      </c>
      <c r="D53" s="35" t="s">
        <v>208</v>
      </c>
      <c r="E53" s="35" t="n">
        <v>2.0</v>
      </c>
      <c r="F53" s="35" t="n">
        <v>9.0</v>
      </c>
      <c r="G53" s="35" t="s">
        <v>110</v>
      </c>
      <c r="H53" s="35" t="s">
        <v>111</v>
      </c>
      <c r="I53" s="35"/>
      <c r="J53" s="35"/>
    </row>
    <row r="54" spans="1:10">
      <c r="A54" s="35" t="n">
        <v>57.0</v>
      </c>
      <c r="B54" s="35" t="s">
        <v>6</v>
      </c>
      <c r="C54" s="35" t="s">
        <v>128</v>
      </c>
      <c r="D54" s="35" t="s">
        <v>208</v>
      </c>
      <c r="E54" s="35" t="n">
        <v>2.0</v>
      </c>
      <c r="F54" s="35" t="n">
        <v>10.0</v>
      </c>
      <c r="G54" s="35" t="s">
        <v>109</v>
      </c>
      <c r="H54" s="35" t="s">
        <v>111</v>
      </c>
      <c r="I54" s="35"/>
      <c r="J54" s="35"/>
    </row>
    <row r="55" spans="1:10">
      <c r="A55" s="35" t="n">
        <v>58.0</v>
      </c>
      <c r="B55" s="35" t="s">
        <v>6</v>
      </c>
      <c r="C55" s="35" t="s">
        <v>128</v>
      </c>
      <c r="D55" s="35" t="s">
        <v>208</v>
      </c>
      <c r="E55" s="35" t="n">
        <v>2.0</v>
      </c>
      <c r="F55" s="35" t="n">
        <v>11.0</v>
      </c>
      <c r="G55" s="35" t="s">
        <v>110</v>
      </c>
      <c r="H55" s="35" t="s">
        <v>109</v>
      </c>
      <c r="I55" s="35"/>
      <c r="J55" s="35"/>
    </row>
    <row r="56" spans="1:10">
      <c r="A56" s="35" t="n">
        <v>59.0</v>
      </c>
      <c r="B56" s="35" t="s">
        <v>6</v>
      </c>
      <c r="C56" s="35" t="s">
        <v>128</v>
      </c>
      <c r="D56" s="35" t="s">
        <v>208</v>
      </c>
      <c r="E56" s="35" t="n">
        <v>2.0</v>
      </c>
      <c r="F56" s="35" t="n">
        <v>12.0</v>
      </c>
      <c r="G56" s="35" t="s">
        <v>110</v>
      </c>
      <c r="H56" s="35" t="s">
        <v>108</v>
      </c>
      <c r="I56" s="35"/>
      <c r="J56" s="35"/>
    </row>
    <row r="57" spans="1:10">
      <c r="A57" s="35" t="n">
        <v>60.0</v>
      </c>
      <c r="B57" s="35" t="s">
        <v>6</v>
      </c>
      <c r="C57" s="35" t="s">
        <v>128</v>
      </c>
      <c r="D57" s="35" t="s">
        <v>208</v>
      </c>
      <c r="E57" s="35" t="n">
        <v>2.0</v>
      </c>
      <c r="F57" s="35" t="n">
        <v>13.0</v>
      </c>
      <c r="G57" s="35" t="s">
        <v>108</v>
      </c>
      <c r="H57" s="35" t="s">
        <v>111</v>
      </c>
      <c r="I57" s="35"/>
      <c r="J57" s="35"/>
    </row>
    <row r="58" spans="1:10">
      <c r="A58" s="35" t="n">
        <v>61.0</v>
      </c>
      <c r="B58" s="35" t="s">
        <v>6</v>
      </c>
      <c r="C58" s="35" t="s">
        <v>128</v>
      </c>
      <c r="D58" s="35" t="s">
        <v>208</v>
      </c>
      <c r="E58" s="35" t="n">
        <v>2.0</v>
      </c>
      <c r="F58" s="35" t="n">
        <v>14.0</v>
      </c>
      <c r="G58" s="35" t="s">
        <v>108</v>
      </c>
      <c r="H58" s="35" t="s">
        <v>109</v>
      </c>
      <c r="I58" s="35"/>
      <c r="J58" s="35"/>
    </row>
    <row r="59" spans="1:10">
      <c r="A59" s="36" t="n">
        <v>62.0</v>
      </c>
      <c r="B59" s="36" t="s">
        <v>131</v>
      </c>
      <c r="C59" s="36" t="s">
        <v>128</v>
      </c>
      <c r="D59" s="36" t="s">
        <v>209</v>
      </c>
      <c r="E59" s="36" t="n">
        <v>1.0</v>
      </c>
      <c r="F59" s="36" t="n">
        <v>1.0</v>
      </c>
      <c r="G59" s="36" t="s">
        <v>110</v>
      </c>
      <c r="H59" s="36"/>
      <c r="I59" s="36"/>
      <c r="J59" s="36"/>
    </row>
    <row r="60" spans="1:10">
      <c r="A60" s="36" t="n">
        <v>63.0</v>
      </c>
      <c r="B60" s="36" t="s">
        <v>131</v>
      </c>
      <c r="C60" s="36" t="s">
        <v>128</v>
      </c>
      <c r="D60" s="36" t="s">
        <v>209</v>
      </c>
      <c r="E60" s="36" t="n">
        <v>1.0</v>
      </c>
      <c r="F60" s="36" t="n">
        <v>2.0</v>
      </c>
      <c r="G60" s="36" t="s">
        <v>111</v>
      </c>
      <c r="H60" s="36"/>
      <c r="I60" s="36"/>
      <c r="J60" s="36"/>
    </row>
    <row r="61" spans="1:10">
      <c r="A61" s="36" t="n">
        <v>64.0</v>
      </c>
      <c r="B61" s="36" t="s">
        <v>131</v>
      </c>
      <c r="C61" s="36" t="s">
        <v>128</v>
      </c>
      <c r="D61" s="36" t="s">
        <v>209</v>
      </c>
      <c r="E61" s="36" t="n">
        <v>1.0</v>
      </c>
      <c r="F61" s="36" t="n">
        <v>3.0</v>
      </c>
      <c r="G61" s="36" t="s">
        <v>109</v>
      </c>
      <c r="H61" s="36"/>
      <c r="I61" s="36"/>
      <c r="J61" s="36"/>
    </row>
    <row r="62" spans="1:10">
      <c r="A62" s="36" t="n">
        <v>65.0</v>
      </c>
      <c r="B62" s="36" t="s">
        <v>131</v>
      </c>
      <c r="C62" s="36" t="s">
        <v>128</v>
      </c>
      <c r="D62" s="36" t="s">
        <v>209</v>
      </c>
      <c r="E62" s="36" t="n">
        <v>1.0</v>
      </c>
      <c r="F62" s="36" t="n">
        <v>4.0</v>
      </c>
      <c r="G62" s="36" t="s">
        <v>108</v>
      </c>
      <c r="H62" s="36"/>
      <c r="I62" s="36"/>
      <c r="J62" s="36"/>
    </row>
    <row r="63" spans="1:10">
      <c r="A63" s="35" t="n">
        <v>66.0</v>
      </c>
      <c r="B63" s="35" t="s">
        <v>5</v>
      </c>
      <c r="C63" s="35" t="s">
        <v>127</v>
      </c>
      <c r="D63" s="35" t="s">
        <v>205</v>
      </c>
      <c r="E63" s="35" t="n">
        <v>2.0</v>
      </c>
      <c r="F63" s="35" t="n">
        <v>1.0</v>
      </c>
      <c r="G63" s="35" t="s">
        <v>111</v>
      </c>
      <c r="H63" s="35" t="s">
        <v>113</v>
      </c>
      <c r="I63" s="35"/>
      <c r="J63" s="35"/>
    </row>
    <row r="64" spans="1:10">
      <c r="A64" s="35" t="n">
        <v>67.0</v>
      </c>
      <c r="B64" s="35" t="s">
        <v>5</v>
      </c>
      <c r="C64" s="35" t="s">
        <v>127</v>
      </c>
      <c r="D64" s="35" t="s">
        <v>205</v>
      </c>
      <c r="E64" s="35" t="n">
        <v>2.0</v>
      </c>
      <c r="F64" s="35" t="n">
        <v>2.0</v>
      </c>
      <c r="G64" s="35" t="s">
        <v>111</v>
      </c>
      <c r="H64" s="35" t="s">
        <v>112</v>
      </c>
      <c r="I64" s="35"/>
      <c r="J64" s="35"/>
    </row>
    <row r="65" spans="1:10">
      <c r="A65" s="35" t="n">
        <v>68.0</v>
      </c>
      <c r="B65" s="35" t="s">
        <v>5</v>
      </c>
      <c r="C65" s="35" t="s">
        <v>127</v>
      </c>
      <c r="D65" s="35" t="s">
        <v>205</v>
      </c>
      <c r="E65" s="35" t="n">
        <v>2.0</v>
      </c>
      <c r="F65" s="35" t="n">
        <v>3.0</v>
      </c>
      <c r="G65" s="35" t="s">
        <v>110</v>
      </c>
      <c r="H65" s="35" t="s">
        <v>113</v>
      </c>
      <c r="I65" s="35"/>
      <c r="J65" s="35"/>
    </row>
    <row r="66" spans="1:10">
      <c r="A66" s="35" t="n">
        <v>69.0</v>
      </c>
      <c r="B66" s="35" t="s">
        <v>5</v>
      </c>
      <c r="C66" s="35" t="s">
        <v>127</v>
      </c>
      <c r="D66" s="35" t="s">
        <v>205</v>
      </c>
      <c r="E66" s="35" t="n">
        <v>2.0</v>
      </c>
      <c r="F66" s="35" t="n">
        <v>4.0</v>
      </c>
      <c r="G66" s="35" t="s">
        <v>110</v>
      </c>
      <c r="H66" s="35" t="s">
        <v>112</v>
      </c>
      <c r="I66" s="35"/>
      <c r="J66" s="35"/>
    </row>
    <row r="67" spans="1:10">
      <c r="A67" s="35" t="n">
        <v>70.0</v>
      </c>
      <c r="B67" s="35" t="s">
        <v>5</v>
      </c>
      <c r="C67" s="35" t="s">
        <v>127</v>
      </c>
      <c r="D67" s="35" t="s">
        <v>205</v>
      </c>
      <c r="E67" s="35" t="n">
        <v>2.0</v>
      </c>
      <c r="F67" s="35" t="n">
        <v>5.0</v>
      </c>
      <c r="G67" s="35" t="s">
        <v>109</v>
      </c>
      <c r="H67" s="35" t="s">
        <v>113</v>
      </c>
      <c r="I67" s="35"/>
      <c r="J67" s="35"/>
    </row>
    <row r="68" spans="1:10">
      <c r="A68" s="35" t="n">
        <v>71.0</v>
      </c>
      <c r="B68" s="35" t="s">
        <v>5</v>
      </c>
      <c r="C68" s="35" t="s">
        <v>127</v>
      </c>
      <c r="D68" s="35" t="s">
        <v>205</v>
      </c>
      <c r="E68" s="35" t="n">
        <v>2.0</v>
      </c>
      <c r="F68" s="35" t="n">
        <v>6.0</v>
      </c>
      <c r="G68" s="35" t="s">
        <v>109</v>
      </c>
      <c r="H68" s="35" t="s">
        <v>112</v>
      </c>
      <c r="I68" s="35"/>
      <c r="J68" s="35"/>
    </row>
    <row r="69" spans="1:10">
      <c r="A69" s="35" t="n">
        <v>72.0</v>
      </c>
      <c r="B69" s="35" t="s">
        <v>5</v>
      </c>
      <c r="C69" s="35" t="s">
        <v>127</v>
      </c>
      <c r="D69" s="35" t="s">
        <v>205</v>
      </c>
      <c r="E69" s="35" t="n">
        <v>2.0</v>
      </c>
      <c r="F69" s="35" t="n">
        <v>7.0</v>
      </c>
      <c r="G69" s="35" t="s">
        <v>108</v>
      </c>
      <c r="H69" s="35" t="s">
        <v>113</v>
      </c>
      <c r="I69" s="35"/>
      <c r="J69" s="35"/>
    </row>
    <row r="70" spans="1:10">
      <c r="A70" s="35" t="n">
        <v>73.0</v>
      </c>
      <c r="B70" s="35" t="s">
        <v>5</v>
      </c>
      <c r="C70" s="35" t="s">
        <v>127</v>
      </c>
      <c r="D70" s="35" t="s">
        <v>205</v>
      </c>
      <c r="E70" s="35" t="n">
        <v>2.0</v>
      </c>
      <c r="F70" s="35" t="n">
        <v>8.0</v>
      </c>
      <c r="G70" s="35" t="s">
        <v>108</v>
      </c>
      <c r="H70" s="35" t="s">
        <v>112</v>
      </c>
      <c r="I70" s="35"/>
      <c r="J70" s="35"/>
    </row>
    <row r="71" spans="1:10">
      <c r="A71" s="35" t="n">
        <v>74.0</v>
      </c>
      <c r="B71" s="35" t="s">
        <v>5</v>
      </c>
      <c r="C71" s="35" t="s">
        <v>127</v>
      </c>
      <c r="D71" s="35" t="s">
        <v>205</v>
      </c>
      <c r="E71" s="35" t="n">
        <v>2.0</v>
      </c>
      <c r="F71" s="35" t="n">
        <v>9.0</v>
      </c>
      <c r="G71" s="35" t="s">
        <v>110</v>
      </c>
      <c r="H71" s="35" t="s">
        <v>111</v>
      </c>
      <c r="I71" s="35"/>
      <c r="J71" s="35"/>
    </row>
    <row r="72" spans="1:10">
      <c r="A72" s="35" t="n">
        <v>75.0</v>
      </c>
      <c r="B72" s="35" t="s">
        <v>5</v>
      </c>
      <c r="C72" s="35" t="s">
        <v>127</v>
      </c>
      <c r="D72" s="35" t="s">
        <v>205</v>
      </c>
      <c r="E72" s="35" t="n">
        <v>2.0</v>
      </c>
      <c r="F72" s="35" t="n">
        <v>10.0</v>
      </c>
      <c r="G72" s="35" t="s">
        <v>109</v>
      </c>
      <c r="H72" s="35" t="s">
        <v>111</v>
      </c>
      <c r="I72" s="35"/>
      <c r="J72" s="35"/>
    </row>
    <row r="73" spans="1:10">
      <c r="A73" s="35" t="n">
        <v>76.0</v>
      </c>
      <c r="B73" s="35" t="s">
        <v>5</v>
      </c>
      <c r="C73" s="35" t="s">
        <v>127</v>
      </c>
      <c r="D73" s="35" t="s">
        <v>205</v>
      </c>
      <c r="E73" s="35" t="n">
        <v>2.0</v>
      </c>
      <c r="F73" s="35" t="n">
        <v>11.0</v>
      </c>
      <c r="G73" s="35" t="s">
        <v>110</v>
      </c>
      <c r="H73" s="35" t="s">
        <v>109</v>
      </c>
      <c r="I73" s="35"/>
      <c r="J73" s="35"/>
    </row>
    <row r="74" spans="1:10">
      <c r="A74" s="35" t="n">
        <v>77.0</v>
      </c>
      <c r="B74" s="35" t="s">
        <v>5</v>
      </c>
      <c r="C74" s="35" t="s">
        <v>127</v>
      </c>
      <c r="D74" s="35" t="s">
        <v>205</v>
      </c>
      <c r="E74" s="35" t="n">
        <v>2.0</v>
      </c>
      <c r="F74" s="35" t="n">
        <v>12.0</v>
      </c>
      <c r="G74" s="35" t="s">
        <v>108</v>
      </c>
      <c r="H74" s="35" t="s">
        <v>111</v>
      </c>
      <c r="I74" s="35"/>
      <c r="J74" s="35"/>
    </row>
    <row r="75" spans="1:10">
      <c r="A75" s="35" t="n">
        <v>78.0</v>
      </c>
      <c r="B75" s="35" t="s">
        <v>5</v>
      </c>
      <c r="C75" s="35" t="s">
        <v>127</v>
      </c>
      <c r="D75" s="35" t="s">
        <v>205</v>
      </c>
      <c r="E75" s="35" t="n">
        <v>2.0</v>
      </c>
      <c r="F75" s="35" t="n">
        <v>13.0</v>
      </c>
      <c r="G75" s="35" t="s">
        <v>110</v>
      </c>
      <c r="H75" s="35" t="s">
        <v>108</v>
      </c>
      <c r="I75" s="35"/>
      <c r="J75" s="35"/>
    </row>
    <row r="76" spans="1:10">
      <c r="A76" s="35" t="n">
        <v>79.0</v>
      </c>
      <c r="B76" s="35" t="s">
        <v>5</v>
      </c>
      <c r="C76" s="35" t="s">
        <v>127</v>
      </c>
      <c r="D76" s="35" t="s">
        <v>205</v>
      </c>
      <c r="E76" s="35" t="n">
        <v>2.0</v>
      </c>
      <c r="F76" s="35" t="n">
        <v>14.0</v>
      </c>
      <c r="G76" s="35" t="s">
        <v>108</v>
      </c>
      <c r="H76" s="35" t="s">
        <v>109</v>
      </c>
      <c r="I76" s="35"/>
      <c r="J76" s="35"/>
    </row>
    <row r="77" spans="1:10">
      <c r="A77" s="36" t="n">
        <v>80.0</v>
      </c>
      <c r="B77" s="36" t="s">
        <v>130</v>
      </c>
      <c r="C77" s="36" t="s">
        <v>127</v>
      </c>
      <c r="D77" s="36" t="s">
        <v>206</v>
      </c>
      <c r="E77" s="36" t="n">
        <v>1.0</v>
      </c>
      <c r="F77" s="36" t="n">
        <v>1.0</v>
      </c>
      <c r="G77" s="36" t="s">
        <v>111</v>
      </c>
      <c r="H77" s="36"/>
      <c r="I77" s="36"/>
      <c r="J77" s="36"/>
    </row>
    <row r="78" spans="1:10">
      <c r="A78" s="36" t="n">
        <v>81.0</v>
      </c>
      <c r="B78" s="36" t="s">
        <v>130</v>
      </c>
      <c r="C78" s="36" t="s">
        <v>127</v>
      </c>
      <c r="D78" s="36" t="s">
        <v>206</v>
      </c>
      <c r="E78" s="36" t="n">
        <v>1.0</v>
      </c>
      <c r="F78" s="36" t="n">
        <v>2.0</v>
      </c>
      <c r="G78" s="36" t="s">
        <v>110</v>
      </c>
      <c r="H78" s="36"/>
      <c r="I78" s="36"/>
      <c r="J78" s="36"/>
    </row>
    <row r="79" spans="1:10">
      <c r="A79" s="36" t="n">
        <v>82.0</v>
      </c>
      <c r="B79" s="36" t="s">
        <v>130</v>
      </c>
      <c r="C79" s="36" t="s">
        <v>127</v>
      </c>
      <c r="D79" s="36" t="s">
        <v>206</v>
      </c>
      <c r="E79" s="36" t="n">
        <v>1.0</v>
      </c>
      <c r="F79" s="36" t="n">
        <v>3.0</v>
      </c>
      <c r="G79" s="36" t="s">
        <v>109</v>
      </c>
      <c r="H79" s="36"/>
      <c r="I79" s="36"/>
      <c r="J79" s="36"/>
    </row>
    <row r="80" spans="1:10">
      <c r="A80" s="36" t="n">
        <v>83.0</v>
      </c>
      <c r="B80" s="36" t="s">
        <v>130</v>
      </c>
      <c r="C80" s="36" t="s">
        <v>127</v>
      </c>
      <c r="D80" s="36" t="s">
        <v>206</v>
      </c>
      <c r="E80" s="36" t="n">
        <v>1.0</v>
      </c>
      <c r="F80" s="36" t="n">
        <v>4.0</v>
      </c>
      <c r="G80" s="36" t="s">
        <v>108</v>
      </c>
      <c r="H80" s="36"/>
      <c r="I80" s="36"/>
      <c r="J80" s="36"/>
    </row>
    <row r="81" spans="1:10">
      <c r="A81" s="35" t="n">
        <v>84.0</v>
      </c>
      <c r="B81" s="35" t="s">
        <v>131</v>
      </c>
      <c r="C81" s="35" t="s">
        <v>127</v>
      </c>
      <c r="D81" s="35" t="s">
        <v>207</v>
      </c>
      <c r="E81" s="35" t="n">
        <v>1.0</v>
      </c>
      <c r="F81" s="35" t="n">
        <v>1.0</v>
      </c>
      <c r="G81" s="35" t="s">
        <v>111</v>
      </c>
      <c r="H81" s="35"/>
      <c r="I81" s="35"/>
      <c r="J81" s="35"/>
    </row>
    <row r="82" spans="1:10">
      <c r="A82" s="35" t="n">
        <v>85.0</v>
      </c>
      <c r="B82" s="35" t="s">
        <v>131</v>
      </c>
      <c r="C82" s="35" t="s">
        <v>127</v>
      </c>
      <c r="D82" s="35" t="s">
        <v>207</v>
      </c>
      <c r="E82" s="35" t="n">
        <v>1.0</v>
      </c>
      <c r="F82" s="35" t="n">
        <v>2.0</v>
      </c>
      <c r="G82" s="35" t="s">
        <v>110</v>
      </c>
      <c r="H82" s="35"/>
      <c r="I82" s="35"/>
      <c r="J82" s="35"/>
    </row>
    <row r="83" spans="1:10">
      <c r="A83" s="35" t="n">
        <v>86.0</v>
      </c>
      <c r="B83" s="35" t="s">
        <v>131</v>
      </c>
      <c r="C83" s="35" t="s">
        <v>127</v>
      </c>
      <c r="D83" s="35" t="s">
        <v>207</v>
      </c>
      <c r="E83" s="35" t="n">
        <v>1.0</v>
      </c>
      <c r="F83" s="35" t="n">
        <v>3.0</v>
      </c>
      <c r="G83" s="35" t="s">
        <v>109</v>
      </c>
      <c r="H83" s="35"/>
      <c r="I83" s="35"/>
      <c r="J83" s="35"/>
    </row>
    <row r="84" spans="1:10">
      <c r="A84" s="35" t="n">
        <v>87.0</v>
      </c>
      <c r="B84" s="35" t="s">
        <v>131</v>
      </c>
      <c r="C84" s="35" t="s">
        <v>127</v>
      </c>
      <c r="D84" s="35" t="s">
        <v>207</v>
      </c>
      <c r="E84" s="35" t="n">
        <v>1.0</v>
      </c>
      <c r="F84" s="35" t="n">
        <v>4.0</v>
      </c>
      <c r="G84" s="35" t="s">
        <v>108</v>
      </c>
      <c r="H84" s="35"/>
      <c r="I84" s="35"/>
      <c r="J84" s="35"/>
    </row>
    <row r="85" spans="1:10">
      <c r="A85" s="36" t="n">
        <v>88.0</v>
      </c>
      <c r="B85" s="36" t="s">
        <v>4</v>
      </c>
      <c r="C85" s="36" t="s">
        <v>126</v>
      </c>
      <c r="D85" s="36" t="s">
        <v>202</v>
      </c>
      <c r="E85" s="36" t="n">
        <v>1.0</v>
      </c>
      <c r="F85" s="36" t="n">
        <v>1.0</v>
      </c>
      <c r="G85" s="36" t="s">
        <v>110</v>
      </c>
      <c r="H85" s="36"/>
      <c r="I85" s="36"/>
      <c r="J85" s="36"/>
    </row>
    <row r="86" spans="1:10">
      <c r="A86" s="36" t="n">
        <v>89.0</v>
      </c>
      <c r="B86" s="36" t="s">
        <v>4</v>
      </c>
      <c r="C86" s="36" t="s">
        <v>126</v>
      </c>
      <c r="D86" s="36" t="s">
        <v>202</v>
      </c>
      <c r="E86" s="36" t="n">
        <v>1.0</v>
      </c>
      <c r="F86" s="36" t="n">
        <v>2.0</v>
      </c>
      <c r="G86" s="36" t="s">
        <v>109</v>
      </c>
      <c r="H86" s="36"/>
      <c r="I86" s="36"/>
      <c r="J86" s="36"/>
    </row>
    <row r="87" spans="1:10">
      <c r="A87" s="36" t="n">
        <v>90.0</v>
      </c>
      <c r="B87" s="36" t="s">
        <v>4</v>
      </c>
      <c r="C87" s="36" t="s">
        <v>126</v>
      </c>
      <c r="D87" s="36" t="s">
        <v>202</v>
      </c>
      <c r="E87" s="36" t="n">
        <v>1.0</v>
      </c>
      <c r="F87" s="36" t="n">
        <v>3.0</v>
      </c>
      <c r="G87" s="36" t="s">
        <v>113</v>
      </c>
      <c r="H87" s="36"/>
      <c r="I87" s="36"/>
      <c r="J87" s="36"/>
    </row>
    <row r="88" spans="1:10">
      <c r="A88" s="36" t="n">
        <v>95.0</v>
      </c>
      <c r="B88" s="36" t="s">
        <v>4</v>
      </c>
      <c r="C88" s="36" t="s">
        <v>126</v>
      </c>
      <c r="D88" s="36" t="s">
        <v>202</v>
      </c>
      <c r="E88" s="36" t="n">
        <v>1.0</v>
      </c>
      <c r="F88" s="36" t="n">
        <v>4.0</v>
      </c>
      <c r="G88" s="36" t="s">
        <v>108</v>
      </c>
      <c r="H88" s="36"/>
      <c r="I88" s="36"/>
      <c r="J88" s="36"/>
    </row>
    <row r="89" spans="1:10">
      <c r="A89" s="35" t="n">
        <v>98.0</v>
      </c>
      <c r="B89" s="35" t="s">
        <v>212</v>
      </c>
      <c r="C89" s="35" t="s">
        <v>126</v>
      </c>
      <c r="D89" s="35" t="s">
        <v>213</v>
      </c>
      <c r="E89" s="35" t="n">
        <v>1.0</v>
      </c>
      <c r="F89" s="35" t="n">
        <v>1.0</v>
      </c>
      <c r="G89" s="35" t="s">
        <v>110</v>
      </c>
      <c r="H89" s="35"/>
      <c r="I89" s="35"/>
      <c r="J89" s="35"/>
    </row>
    <row r="90" spans="1:10">
      <c r="A90" s="35" t="n">
        <v>99.0</v>
      </c>
      <c r="B90" s="35" t="s">
        <v>212</v>
      </c>
      <c r="C90" s="35" t="s">
        <v>126</v>
      </c>
      <c r="D90" s="35" t="s">
        <v>213</v>
      </c>
      <c r="E90" s="35" t="n">
        <v>1.0</v>
      </c>
      <c r="F90" s="35" t="n">
        <v>2.0</v>
      </c>
      <c r="G90" s="35" t="s">
        <v>108</v>
      </c>
      <c r="H90" s="35"/>
      <c r="I90" s="35"/>
      <c r="J90" s="35"/>
    </row>
    <row r="91" spans="1:10">
      <c r="A91" s="35" t="n">
        <v>100.0</v>
      </c>
      <c r="B91" s="35" t="s">
        <v>212</v>
      </c>
      <c r="C91" s="35" t="s">
        <v>126</v>
      </c>
      <c r="D91" s="35" t="s">
        <v>213</v>
      </c>
      <c r="E91" s="35" t="n">
        <v>1.0</v>
      </c>
      <c r="F91" s="35" t="n">
        <v>3.0</v>
      </c>
      <c r="G91" s="35" t="s">
        <v>109</v>
      </c>
      <c r="H91" s="35"/>
      <c r="I91" s="35"/>
      <c r="J91" s="35"/>
    </row>
    <row r="92" spans="1:10">
      <c r="A92" s="35" t="n">
        <v>102.0</v>
      </c>
      <c r="B92" s="35" t="s">
        <v>130</v>
      </c>
      <c r="C92" s="35" t="s">
        <v>126</v>
      </c>
      <c r="D92" s="35" t="s">
        <v>203</v>
      </c>
      <c r="E92" s="35" t="n">
        <v>1.0</v>
      </c>
      <c r="F92" s="35" t="n">
        <v>1.0</v>
      </c>
      <c r="G92" s="35" t="s">
        <v>110</v>
      </c>
      <c r="H92" s="35"/>
      <c r="I92" s="35"/>
      <c r="J92" s="35"/>
    </row>
    <row r="93" spans="1:10">
      <c r="A93" s="35" t="n">
        <v>103.0</v>
      </c>
      <c r="B93" s="35" t="s">
        <v>130</v>
      </c>
      <c r="C93" s="35" t="s">
        <v>126</v>
      </c>
      <c r="D93" s="35" t="s">
        <v>203</v>
      </c>
      <c r="E93" s="35" t="n">
        <v>1.0</v>
      </c>
      <c r="F93" s="35" t="n">
        <v>2.0</v>
      </c>
      <c r="G93" s="35" t="s">
        <v>109</v>
      </c>
      <c r="H93" s="35"/>
      <c r="I93" s="35"/>
      <c r="J93" s="35"/>
    </row>
    <row r="94" spans="1:10">
      <c r="A94" s="35" t="n">
        <v>104.0</v>
      </c>
      <c r="B94" s="35" t="s">
        <v>130</v>
      </c>
      <c r="C94" s="35" t="s">
        <v>126</v>
      </c>
      <c r="D94" s="35" t="s">
        <v>203</v>
      </c>
      <c r="E94" s="35" t="n">
        <v>1.0</v>
      </c>
      <c r="F94" s="35" t="n">
        <v>3.0</v>
      </c>
      <c r="G94" s="35" t="s">
        <v>108</v>
      </c>
      <c r="H94" s="35"/>
      <c r="I94" s="35"/>
      <c r="J94" s="35"/>
    </row>
    <row r="95" spans="1:10">
      <c r="A95" s="36" t="n">
        <v>105.0</v>
      </c>
      <c r="B95" s="36" t="s">
        <v>131</v>
      </c>
      <c r="C95" s="36" t="s">
        <v>126</v>
      </c>
      <c r="D95" s="36" t="s">
        <v>204</v>
      </c>
      <c r="E95" s="36" t="n">
        <v>1.0</v>
      </c>
      <c r="F95" s="36" t="n">
        <v>1.0</v>
      </c>
      <c r="G95" s="36" t="s">
        <v>110</v>
      </c>
      <c r="H95" s="36"/>
      <c r="I95" s="36"/>
      <c r="J95" s="36"/>
    </row>
    <row r="96" spans="1:10">
      <c r="A96" s="36" t="n">
        <v>106.0</v>
      </c>
      <c r="B96" s="36" t="s">
        <v>131</v>
      </c>
      <c r="C96" s="36" t="s">
        <v>126</v>
      </c>
      <c r="D96" s="36" t="s">
        <v>204</v>
      </c>
      <c r="E96" s="36" t="n">
        <v>1.0</v>
      </c>
      <c r="F96" s="36" t="n">
        <v>2.0</v>
      </c>
      <c r="G96" s="36" t="s">
        <v>109</v>
      </c>
      <c r="H96" s="36"/>
      <c r="I96" s="36"/>
      <c r="J96" s="36"/>
    </row>
    <row r="97" spans="1:10">
      <c r="A97" s="36" t="n">
        <v>107.0</v>
      </c>
      <c r="B97" s="36" t="s">
        <v>131</v>
      </c>
      <c r="C97" s="36" t="s">
        <v>126</v>
      </c>
      <c r="D97" s="36" t="s">
        <v>204</v>
      </c>
      <c r="E97" s="36" t="n">
        <v>1.0</v>
      </c>
      <c r="F97" s="36" t="n">
        <v>3.0</v>
      </c>
      <c r="G97" s="36" t="s">
        <v>108</v>
      </c>
      <c r="H97" s="36"/>
      <c r="I97" s="36"/>
      <c r="J97" s="36"/>
    </row>
    <row r="98" spans="1:10">
      <c r="A98" s="35" t="n">
        <v>108.0</v>
      </c>
      <c r="B98" s="35" t="s">
        <v>7</v>
      </c>
      <c r="C98" s="35" t="s">
        <v>129</v>
      </c>
      <c r="D98" s="35" t="s">
        <v>197</v>
      </c>
      <c r="E98" s="35" t="n">
        <v>1.0</v>
      </c>
      <c r="F98" s="35" t="n">
        <v>1.0</v>
      </c>
      <c r="G98" s="35" t="s">
        <v>112</v>
      </c>
      <c r="H98" s="35"/>
      <c r="I98" s="35"/>
      <c r="J98" s="35"/>
    </row>
    <row r="99" spans="1:10">
      <c r="A99" s="35" t="n">
        <v>109.0</v>
      </c>
      <c r="B99" s="35" t="s">
        <v>7</v>
      </c>
      <c r="C99" s="35" t="s">
        <v>129</v>
      </c>
      <c r="D99" s="35" t="s">
        <v>197</v>
      </c>
      <c r="E99" s="35" t="n">
        <v>1.0</v>
      </c>
      <c r="F99" s="35" t="n">
        <v>2.0</v>
      </c>
      <c r="G99" s="35" t="s">
        <v>110</v>
      </c>
      <c r="H99" s="35"/>
      <c r="I99" s="35"/>
      <c r="J99" s="35"/>
    </row>
    <row r="100" spans="1:10">
      <c r="A100" s="35" t="n">
        <v>110.0</v>
      </c>
      <c r="B100" s="35" t="s">
        <v>7</v>
      </c>
      <c r="C100" s="35" t="s">
        <v>129</v>
      </c>
      <c r="D100" s="35" t="s">
        <v>197</v>
      </c>
      <c r="E100" s="35" t="n">
        <v>1.0</v>
      </c>
      <c r="F100" s="35" t="n">
        <v>3.0</v>
      </c>
      <c r="G100" s="35" t="s">
        <v>109</v>
      </c>
      <c r="H100" s="35"/>
      <c r="I100" s="35"/>
      <c r="J100" s="35"/>
    </row>
    <row r="101" spans="1:10">
      <c r="A101" s="35" t="n">
        <v>111.0</v>
      </c>
      <c r="B101" s="35" t="s">
        <v>7</v>
      </c>
      <c r="C101" s="35" t="s">
        <v>129</v>
      </c>
      <c r="D101" s="35" t="s">
        <v>197</v>
      </c>
      <c r="E101" s="35" t="n">
        <v>1.0</v>
      </c>
      <c r="F101" s="35" t="n">
        <v>4.0</v>
      </c>
      <c r="G101" s="35" t="s">
        <v>113</v>
      </c>
      <c r="H101" s="35"/>
      <c r="I101" s="35"/>
      <c r="J101" s="35"/>
    </row>
    <row r="102" spans="1:10">
      <c r="A102" s="35" t="n">
        <v>112.0</v>
      </c>
      <c r="B102" s="35" t="s">
        <v>7</v>
      </c>
      <c r="C102" s="35" t="s">
        <v>129</v>
      </c>
      <c r="D102" s="35" t="s">
        <v>197</v>
      </c>
      <c r="E102" s="35" t="n">
        <v>1.0</v>
      </c>
      <c r="F102" s="35" t="n">
        <v>5.0</v>
      </c>
      <c r="G102" s="35" t="s">
        <v>111</v>
      </c>
      <c r="H102" s="35"/>
      <c r="I102" s="35"/>
      <c r="J102" s="35"/>
    </row>
    <row r="103" spans="1:10">
      <c r="A103" s="35" t="n">
        <v>113.0</v>
      </c>
      <c r="B103" s="35" t="s">
        <v>7</v>
      </c>
      <c r="C103" s="35" t="s">
        <v>129</v>
      </c>
      <c r="D103" s="35" t="s">
        <v>197</v>
      </c>
      <c r="E103" s="35" t="n">
        <v>1.0</v>
      </c>
      <c r="F103" s="35" t="n">
        <v>6.0</v>
      </c>
      <c r="G103" s="35" t="s">
        <v>108</v>
      </c>
      <c r="H103" s="35"/>
      <c r="I103" s="35"/>
      <c r="J103" s="35"/>
    </row>
    <row r="104" spans="1:10">
      <c r="A104" s="36" t="n">
        <v>114.0</v>
      </c>
      <c r="B104" s="36" t="s">
        <v>130</v>
      </c>
      <c r="C104" s="36" t="s">
        <v>129</v>
      </c>
      <c r="D104" s="36" t="s">
        <v>198</v>
      </c>
      <c r="E104" s="36" t="n">
        <v>1.0</v>
      </c>
      <c r="F104" s="36" t="n">
        <v>1.0</v>
      </c>
      <c r="G104" s="36" t="s">
        <v>112</v>
      </c>
      <c r="H104" s="36"/>
      <c r="I104" s="36"/>
      <c r="J104" s="36"/>
    </row>
    <row r="105" spans="1:10">
      <c r="A105" s="36" t="n">
        <v>115.0</v>
      </c>
      <c r="B105" s="36" t="s">
        <v>130</v>
      </c>
      <c r="C105" s="36" t="s">
        <v>129</v>
      </c>
      <c r="D105" s="36" t="s">
        <v>198</v>
      </c>
      <c r="E105" s="36" t="n">
        <v>1.0</v>
      </c>
      <c r="F105" s="36" t="n">
        <v>2.0</v>
      </c>
      <c r="G105" s="36" t="s">
        <v>109</v>
      </c>
      <c r="H105" s="36"/>
      <c r="I105" s="36"/>
      <c r="J105" s="36"/>
    </row>
    <row r="106" spans="1:10">
      <c r="A106" s="36" t="n">
        <v>116.0</v>
      </c>
      <c r="B106" s="36" t="s">
        <v>130</v>
      </c>
      <c r="C106" s="36" t="s">
        <v>129</v>
      </c>
      <c r="D106" s="36" t="s">
        <v>198</v>
      </c>
      <c r="E106" s="36" t="n">
        <v>1.0</v>
      </c>
      <c r="F106" s="36" t="n">
        <v>3.0</v>
      </c>
      <c r="G106" s="36" t="s">
        <v>110</v>
      </c>
      <c r="H106" s="36"/>
      <c r="I106" s="36"/>
      <c r="J106" s="36"/>
    </row>
    <row r="107" spans="1:10">
      <c r="A107" s="36" t="n">
        <v>117.0</v>
      </c>
      <c r="B107" s="36" t="s">
        <v>130</v>
      </c>
      <c r="C107" s="36" t="s">
        <v>129</v>
      </c>
      <c r="D107" s="36" t="s">
        <v>198</v>
      </c>
      <c r="E107" s="36" t="n">
        <v>1.0</v>
      </c>
      <c r="F107" s="36" t="n">
        <v>4.0</v>
      </c>
      <c r="G107" s="36" t="s">
        <v>111</v>
      </c>
      <c r="H107" s="36"/>
      <c r="I107" s="36"/>
      <c r="J107" s="36"/>
    </row>
    <row r="108" spans="1:10">
      <c r="A108" s="36" t="n">
        <v>118.0</v>
      </c>
      <c r="B108" s="36" t="s">
        <v>130</v>
      </c>
      <c r="C108" s="36" t="s">
        <v>129</v>
      </c>
      <c r="D108" s="36" t="s">
        <v>198</v>
      </c>
      <c r="E108" s="36" t="n">
        <v>1.0</v>
      </c>
      <c r="F108" s="36" t="n">
        <v>5.0</v>
      </c>
      <c r="G108" s="36" t="s">
        <v>108</v>
      </c>
      <c r="H108" s="36"/>
      <c r="I108" s="36"/>
      <c r="J108" s="36"/>
    </row>
    <row r="109" spans="1:10">
      <c r="A109" t="n" s="0">
        <v>120.0</v>
      </c>
      <c r="B109" t="s" s="0">
        <v>244</v>
      </c>
      <c r="C109" t="s" s="0">
        <v>129</v>
      </c>
      <c r="D109" t="s" s="0">
        <v>238</v>
      </c>
      <c r="E109" t="n" s="0">
        <v>2.0</v>
      </c>
      <c r="F109" t="n" s="0">
        <v>4.0</v>
      </c>
      <c r="G109" t="s" s="0">
        <v>112</v>
      </c>
      <c r="H109" t="s" s="0">
        <v>108</v>
      </c>
    </row>
    <row r="110" spans="1:10">
      <c r="A110" t="n" s="0">
        <v>121.0</v>
      </c>
      <c r="B110" t="s" s="0">
        <v>244</v>
      </c>
      <c r="C110" t="s" s="0">
        <v>129</v>
      </c>
      <c r="D110" t="s" s="0">
        <v>238</v>
      </c>
      <c r="E110" t="n" s="0">
        <v>2.0</v>
      </c>
      <c r="F110" t="n" s="0">
        <v>3.0</v>
      </c>
      <c r="G110" t="s" s="0">
        <v>110</v>
      </c>
      <c r="H110" t="s" s="0">
        <v>108</v>
      </c>
    </row>
    <row r="111" spans="1:10">
      <c r="A111" t="n" s="0">
        <v>122.0</v>
      </c>
      <c r="B111" t="s" s="0">
        <v>244</v>
      </c>
      <c r="C111" t="s" s="0">
        <v>129</v>
      </c>
      <c r="D111" t="s" s="0">
        <v>238</v>
      </c>
      <c r="E111" t="n" s="0">
        <v>2.0</v>
      </c>
      <c r="F111" t="n" s="0">
        <v>2.0</v>
      </c>
      <c r="G111" t="s" s="0">
        <v>109</v>
      </c>
      <c r="H111" t="s" s="0">
        <v>108</v>
      </c>
    </row>
    <row r="112" spans="1:10">
      <c r="A112" t="n" s="0">
        <v>123.0</v>
      </c>
      <c r="B112" t="s" s="0">
        <v>245</v>
      </c>
      <c r="C112" t="s" s="0">
        <v>245</v>
      </c>
      <c r="D112" t="s" s="0">
        <v>261</v>
      </c>
      <c r="E112" t="n" s="0">
        <v>1.0</v>
      </c>
      <c r="F112" t="n" s="0">
        <v>1.0</v>
      </c>
      <c r="G112" s="35" t="s">
        <v>108</v>
      </c>
    </row>
    <row r="113" spans="1:7">
      <c r="A113" t="n" s="0">
        <v>124.0</v>
      </c>
      <c r="B113" t="s" s="0">
        <v>245</v>
      </c>
      <c r="C113" t="s" s="0">
        <v>245</v>
      </c>
      <c r="D113" t="s" s="0">
        <v>261</v>
      </c>
      <c r="E113" t="n" s="0">
        <v>1.0</v>
      </c>
      <c r="F113" t="n" s="0">
        <v>2.0</v>
      </c>
      <c r="G113" s="35" t="s">
        <v>109</v>
      </c>
    </row>
    <row r="114" spans="1:7">
      <c r="A114" t="n" s="0">
        <v>125.0</v>
      </c>
      <c r="B114" t="s" s="0">
        <v>245</v>
      </c>
      <c r="C114" t="s" s="0">
        <v>245</v>
      </c>
      <c r="D114" t="s" s="0">
        <v>261</v>
      </c>
      <c r="E114" t="n" s="0">
        <v>1.0</v>
      </c>
      <c r="F114" t="n" s="0">
        <v>3.0</v>
      </c>
      <c r="G114" s="35" t="s">
        <v>110</v>
      </c>
    </row>
    <row r="115" spans="1:7">
      <c r="A115" t="n" s="0">
        <v>126.0</v>
      </c>
      <c r="B115" t="s" s="0">
        <v>245</v>
      </c>
      <c r="C115" t="s" s="0">
        <v>245</v>
      </c>
      <c r="D115" t="s" s="0">
        <v>261</v>
      </c>
      <c r="E115" t="n" s="0">
        <v>1.0</v>
      </c>
      <c r="F115" t="n" s="0">
        <v>4.0</v>
      </c>
      <c r="G115" s="5" t="s">
        <v>111</v>
      </c>
    </row>
    <row r="116" spans="1:7">
      <c r="A116" t="n" s="0">
        <v>127.0</v>
      </c>
      <c r="B116" t="s" s="0">
        <v>245</v>
      </c>
      <c r="C116" t="s" s="0">
        <v>245</v>
      </c>
      <c r="D116" t="s" s="0">
        <v>261</v>
      </c>
      <c r="E116" t="n" s="0">
        <v>1.0</v>
      </c>
      <c r="F116" t="n" s="0">
        <v>5.0</v>
      </c>
      <c r="G116" s="5" t="s">
        <v>112</v>
      </c>
    </row>
    <row r="117" spans="1:7">
      <c r="A117" t="n" s="0">
        <v>128.0</v>
      </c>
      <c r="B117" t="s" s="0">
        <v>245</v>
      </c>
      <c r="C117" t="s" s="0">
        <v>245</v>
      </c>
      <c r="D117" t="s" s="0">
        <v>261</v>
      </c>
      <c r="E117" t="n" s="0">
        <v>1.0</v>
      </c>
      <c r="F117" t="n" s="0">
        <v>6.0</v>
      </c>
      <c r="G117" s="5" t="s">
        <v>113</v>
      </c>
    </row>
    <row r="118">
      <c r="A118" t="n" s="0">
        <v>129.0</v>
      </c>
      <c r="B118" t="s" s="0">
        <v>262</v>
      </c>
      <c r="C118" t="s" s="0">
        <v>125</v>
      </c>
      <c r="D118" t="s" s="0">
        <v>263</v>
      </c>
      <c r="E118" t="n" s="0">
        <v>2.0</v>
      </c>
      <c r="F118" t="n" s="0">
        <v>64.0</v>
      </c>
      <c r="G118" t="s" s="0">
        <v>264</v>
      </c>
      <c r="H118" t="s" s="0">
        <v>265</v>
      </c>
      <c r="L118" t="n" s="0">
        <v>1.0</v>
      </c>
    </row>
    <row r="119">
      <c r="A119" t="n" s="0">
        <v>130.0</v>
      </c>
      <c r="B119" t="s" s="0">
        <v>262</v>
      </c>
      <c r="C119" t="s" s="0">
        <v>125</v>
      </c>
      <c r="D119" t="s" s="0">
        <v>263</v>
      </c>
      <c r="E119" t="n" s="0">
        <v>2.0</v>
      </c>
      <c r="F119" t="n" s="0">
        <v>63.0</v>
      </c>
      <c r="G119" t="s" s="0">
        <v>264</v>
      </c>
      <c r="H119" t="s" s="0">
        <v>266</v>
      </c>
      <c r="L119" t="n" s="0">
        <v>1.0</v>
      </c>
    </row>
    <row r="120">
      <c r="A120" t="n" s="0">
        <v>131.0</v>
      </c>
      <c r="B120" t="s" s="0">
        <v>262</v>
      </c>
      <c r="C120" t="s" s="0">
        <v>125</v>
      </c>
      <c r="D120" t="s" s="0">
        <v>263</v>
      </c>
      <c r="E120" t="n" s="0">
        <v>2.0</v>
      </c>
      <c r="F120" t="n" s="0">
        <v>62.0</v>
      </c>
      <c r="G120" t="s" s="0">
        <v>264</v>
      </c>
      <c r="H120" t="s" s="0">
        <v>267</v>
      </c>
      <c r="L120" t="n" s="0">
        <v>1.0</v>
      </c>
    </row>
    <row r="121">
      <c r="A121" t="n" s="0">
        <v>132.0</v>
      </c>
      <c r="B121" t="s" s="0">
        <v>262</v>
      </c>
      <c r="C121" t="s" s="0">
        <v>125</v>
      </c>
      <c r="D121" t="s" s="0">
        <v>263</v>
      </c>
      <c r="E121" t="n" s="0">
        <v>2.0</v>
      </c>
      <c r="F121" t="n" s="0">
        <v>61.0</v>
      </c>
      <c r="G121" t="s" s="0">
        <v>264</v>
      </c>
      <c r="H121" t="s" s="0">
        <v>268</v>
      </c>
      <c r="L121" t="n" s="0">
        <v>1.0</v>
      </c>
    </row>
    <row r="122">
      <c r="A122" t="n" s="0">
        <v>133.0</v>
      </c>
      <c r="B122" t="s" s="0">
        <v>262</v>
      </c>
      <c r="C122" t="s" s="0">
        <v>125</v>
      </c>
      <c r="D122" t="s" s="0">
        <v>263</v>
      </c>
      <c r="E122" t="n" s="0">
        <v>2.0</v>
      </c>
      <c r="F122" t="n" s="0">
        <v>60.0</v>
      </c>
      <c r="G122" t="s" s="0">
        <v>264</v>
      </c>
      <c r="H122" t="s" s="0">
        <v>269</v>
      </c>
      <c r="L122" t="n" s="0">
        <v>1.0</v>
      </c>
    </row>
    <row r="123">
      <c r="A123" t="n" s="0">
        <v>134.0</v>
      </c>
      <c r="B123" t="s" s="0">
        <v>262</v>
      </c>
      <c r="C123" t="s" s="0">
        <v>125</v>
      </c>
      <c r="D123" t="s" s="0">
        <v>263</v>
      </c>
      <c r="E123" t="n" s="0">
        <v>2.0</v>
      </c>
      <c r="F123" t="n" s="0">
        <v>7.0</v>
      </c>
      <c r="G123" t="s" s="0">
        <v>265</v>
      </c>
      <c r="H123" t="s" s="0">
        <v>266</v>
      </c>
      <c r="L123" t="n" s="0">
        <v>1.0</v>
      </c>
    </row>
    <row r="124">
      <c r="A124" t="n" s="0">
        <v>135.0</v>
      </c>
      <c r="B124" t="s" s="0">
        <v>262</v>
      </c>
      <c r="C124" t="s" s="0">
        <v>125</v>
      </c>
      <c r="D124" t="s" s="0">
        <v>263</v>
      </c>
      <c r="E124" t="n" s="0">
        <v>2.0</v>
      </c>
      <c r="F124" t="n" s="0">
        <v>8.0</v>
      </c>
      <c r="G124" t="s" s="0">
        <v>265</v>
      </c>
      <c r="H124" t="s" s="0">
        <v>267</v>
      </c>
      <c r="L124" t="n" s="0">
        <v>1.0</v>
      </c>
    </row>
    <row r="125">
      <c r="A125" t="n" s="0">
        <v>136.0</v>
      </c>
      <c r="B125" t="s" s="0">
        <v>262</v>
      </c>
      <c r="C125" t="s" s="0">
        <v>125</v>
      </c>
      <c r="D125" t="s" s="0">
        <v>263</v>
      </c>
      <c r="E125" t="n" s="0">
        <v>2.0</v>
      </c>
      <c r="F125" t="n" s="0">
        <v>9.0</v>
      </c>
      <c r="G125" t="s" s="0">
        <v>265</v>
      </c>
      <c r="H125" t="s" s="0">
        <v>268</v>
      </c>
      <c r="L125" t="n" s="0">
        <v>1.0</v>
      </c>
    </row>
    <row r="126">
      <c r="A126" t="n" s="0">
        <v>137.0</v>
      </c>
      <c r="B126" t="s" s="0">
        <v>262</v>
      </c>
      <c r="C126" t="s" s="0">
        <v>125</v>
      </c>
      <c r="D126" t="s" s="0">
        <v>263</v>
      </c>
      <c r="E126" t="n" s="0">
        <v>2.0</v>
      </c>
      <c r="F126" t="n" s="0">
        <v>10.0</v>
      </c>
      <c r="G126" t="s" s="0">
        <v>265</v>
      </c>
      <c r="H126" t="s" s="0">
        <v>269</v>
      </c>
      <c r="L126" t="n" s="0">
        <v>1.0</v>
      </c>
    </row>
    <row r="127">
      <c r="A127" t="n" s="0">
        <v>138.0</v>
      </c>
      <c r="B127" t="s" s="0">
        <v>262</v>
      </c>
      <c r="C127" t="s" s="0">
        <v>125</v>
      </c>
      <c r="D127" t="s" s="0">
        <v>263</v>
      </c>
      <c r="E127" t="n" s="0">
        <v>2.0</v>
      </c>
      <c r="F127" t="n" s="0">
        <v>1.0</v>
      </c>
      <c r="G127" t="s" s="0">
        <v>266</v>
      </c>
      <c r="H127" t="s" s="0">
        <v>267</v>
      </c>
      <c r="L127" t="n" s="0">
        <v>1.0</v>
      </c>
    </row>
    <row r="128">
      <c r="A128" t="n" s="0">
        <v>139.0</v>
      </c>
      <c r="B128" t="s" s="0">
        <v>262</v>
      </c>
      <c r="C128" t="s" s="0">
        <v>125</v>
      </c>
      <c r="D128" t="s" s="0">
        <v>263</v>
      </c>
      <c r="E128" t="n" s="0">
        <v>2.0</v>
      </c>
      <c r="F128" t="n" s="0">
        <v>2.0</v>
      </c>
      <c r="G128" t="s" s="0">
        <v>266</v>
      </c>
      <c r="H128" t="s" s="0">
        <v>268</v>
      </c>
      <c r="L128" t="n" s="0">
        <v>1.0</v>
      </c>
    </row>
    <row r="129">
      <c r="A129" t="n" s="0">
        <v>140.0</v>
      </c>
      <c r="B129" t="s" s="0">
        <v>262</v>
      </c>
      <c r="C129" t="s" s="0">
        <v>125</v>
      </c>
      <c r="D129" t="s" s="0">
        <v>263</v>
      </c>
      <c r="E129" t="n" s="0">
        <v>2.0</v>
      </c>
      <c r="F129" t="n" s="0">
        <v>3.0</v>
      </c>
      <c r="G129" t="s" s="0">
        <v>266</v>
      </c>
      <c r="H129" t="s" s="0">
        <v>269</v>
      </c>
      <c r="L129" t="n" s="0">
        <v>1.0</v>
      </c>
    </row>
    <row r="130">
      <c r="A130" t="n" s="0">
        <v>141.0</v>
      </c>
      <c r="B130" t="s" s="0">
        <v>262</v>
      </c>
      <c r="C130" t="s" s="0">
        <v>125</v>
      </c>
      <c r="D130" t="s" s="0">
        <v>263</v>
      </c>
      <c r="E130" t="n" s="0">
        <v>2.0</v>
      </c>
      <c r="F130" t="n" s="0">
        <v>4.0</v>
      </c>
      <c r="G130" t="s" s="0">
        <v>267</v>
      </c>
      <c r="H130" t="s" s="0">
        <v>268</v>
      </c>
      <c r="L130" t="n" s="0">
        <v>1.0</v>
      </c>
    </row>
    <row r="131">
      <c r="A131" t="n" s="0">
        <v>142.0</v>
      </c>
      <c r="B131" t="s" s="0">
        <v>262</v>
      </c>
      <c r="C131" t="s" s="0">
        <v>125</v>
      </c>
      <c r="D131" t="s" s="0">
        <v>263</v>
      </c>
      <c r="E131" t="n" s="0">
        <v>2.0</v>
      </c>
      <c r="F131" t="n" s="0">
        <v>5.0</v>
      </c>
      <c r="G131" t="s" s="0">
        <v>267</v>
      </c>
      <c r="H131" t="s" s="0">
        <v>269</v>
      </c>
      <c r="L131" t="n" s="0">
        <v>1.0</v>
      </c>
    </row>
    <row r="132">
      <c r="A132" t="n" s="0">
        <v>143.0</v>
      </c>
      <c r="B132" t="s" s="0">
        <v>262</v>
      </c>
      <c r="C132" t="s" s="0">
        <v>125</v>
      </c>
      <c r="D132" t="s" s="0">
        <v>263</v>
      </c>
      <c r="E132" t="n" s="0">
        <v>2.0</v>
      </c>
      <c r="F132" t="n" s="0">
        <v>6.0</v>
      </c>
      <c r="G132" t="s" s="0">
        <v>268</v>
      </c>
      <c r="H132" t="s" s="0">
        <v>269</v>
      </c>
      <c r="L132" t="n" s="0">
        <v>1.0</v>
      </c>
    </row>
  </sheetData>
  <sortState xmlns:xlrd2="http://schemas.microsoft.com/office/spreadsheetml/2017/richdata2" ref="A2:J108">
    <sortCondition ref="C2:C108"/>
    <sortCondition ref="B2:B108"/>
    <sortCondition ref="E2:E108"/>
    <sortCondition ref="F2:F108"/>
    <sortCondition ref="D2:D108"/>
    <sortCondition ref="A2:A108"/>
  </sortState>
  <phoneticPr fontId="1"/>
  <pageMargins left="0.7" right="0.7" top="0.75" bottom="0.75" header="0.3" footer="0.3"/>
  <drawing r:id="rId1"/>
  <legacyDrawing r:id="rId2"/>
  <mc:AlternateContent>
    <mc:Choice Requires="x14">
      <controls>
        <mc:AlternateContent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V103"/>
  <sheetViews>
    <sheetView topLeftCell="C1" zoomScaleNormal="100" workbookViewId="0">
      <selection activeCell="U1" sqref="U1:U2"/>
    </sheetView>
  </sheetViews>
  <sheetFormatPr defaultColWidth="8.6640625" defaultRowHeight="13"/>
  <cols>
    <col min="1" max="1" bestFit="true" customWidth="true" style="14" width="14.58203125"/>
    <col min="2" max="2" bestFit="true" customWidth="true" style="4" width="11.9140625"/>
    <col min="3" max="3" bestFit="true" customWidth="true" style="13" width="26.4140625"/>
    <col min="4" max="4" bestFit="true" customWidth="true" style="4" width="11.08203125"/>
    <col min="5" max="6" bestFit="true" customWidth="true" style="4" width="12.5"/>
    <col min="7" max="7" bestFit="true" customWidth="true" style="4" width="15.9140625"/>
    <col min="8" max="8" bestFit="true" customWidth="true" style="4" width="16.4140625"/>
    <col min="9" max="9" bestFit="true" customWidth="true" style="4" width="13.5"/>
    <col min="10" max="13" bestFit="true" customWidth="true" style="4" width="13.9140625"/>
    <col min="14" max="14" bestFit="true" customWidth="true" style="4" width="15.9140625"/>
    <col min="15" max="16" bestFit="true" customWidth="true" style="4" width="16.4140625"/>
    <col min="17" max="17" bestFit="true" customWidth="true" style="4" width="13.5"/>
    <col min="18" max="18" bestFit="true" customWidth="true" style="4" width="15.9140625"/>
    <col min="19" max="19" bestFit="true" customWidth="true" style="4" width="11.08203125"/>
    <col min="20" max="20" bestFit="true" customWidth="true" style="4" width="15.9140625"/>
    <col min="21" max="21" bestFit="true" customWidth="true" style="4" width="16.1640625"/>
    <col min="22" max="16384" style="4" width="8.6640625"/>
  </cols>
  <sheetData>
    <row r="1" spans="1:21">
      <c r="A1" s="2" t="s">
        <v>186</v>
      </c>
      <c r="B1" s="2"/>
      <c r="C1" s="3"/>
      <c r="D1" s="2" t="s">
        <v>194</v>
      </c>
      <c r="E1" s="2" t="s">
        <v>194</v>
      </c>
      <c r="F1" s="2" t="s">
        <v>200</v>
      </c>
      <c r="G1" s="2" t="s">
        <v>4</v>
      </c>
      <c r="H1" s="2" t="s">
        <v>5</v>
      </c>
      <c r="I1" s="2" t="s">
        <v>6</v>
      </c>
      <c r="J1" s="2" t="s">
        <v>244</v>
      </c>
      <c r="K1" s="2" t="s">
        <v>130</v>
      </c>
      <c r="L1" s="2" t="s">
        <v>134</v>
      </c>
      <c r="M1" s="2" t="s">
        <v>7</v>
      </c>
      <c r="N1" s="2" t="s">
        <v>130</v>
      </c>
      <c r="O1" s="2" t="s">
        <v>130</v>
      </c>
      <c r="P1" s="2" t="s">
        <v>131</v>
      </c>
      <c r="Q1" s="2" t="s">
        <v>131</v>
      </c>
      <c r="R1" s="2" t="s">
        <v>131</v>
      </c>
      <c r="S1" s="2" t="s">
        <v>131</v>
      </c>
      <c r="T1" s="2" t="s">
        <v>212</v>
      </c>
      <c r="U1" s="2" t="s">
        <v>245</v>
      </c>
      <c r="V1" t="s" s="4">
        <v>262</v>
      </c>
    </row>
    <row r="2" spans="1:21">
      <c r="A2" s="2" t="s">
        <v>187</v>
      </c>
      <c r="B2" s="2"/>
      <c r="C2" s="2"/>
      <c r="D2" s="2" t="s">
        <v>124</v>
      </c>
      <c r="E2" s="2" t="s">
        <v>125</v>
      </c>
      <c r="F2" s="2" t="s">
        <v>125</v>
      </c>
      <c r="G2" s="2" t="s">
        <v>126</v>
      </c>
      <c r="H2" s="2" t="s">
        <v>127</v>
      </c>
      <c r="I2" s="2" t="s">
        <v>128</v>
      </c>
      <c r="J2" s="2" t="s">
        <v>129</v>
      </c>
      <c r="K2" s="2" t="s">
        <v>129</v>
      </c>
      <c r="L2" s="2" t="s">
        <v>129</v>
      </c>
      <c r="M2" s="2" t="s">
        <v>129</v>
      </c>
      <c r="N2" s="2" t="s">
        <v>126</v>
      </c>
      <c r="O2" s="2" t="s">
        <v>127</v>
      </c>
      <c r="P2" s="2" t="s">
        <v>127</v>
      </c>
      <c r="Q2" s="2" t="s">
        <v>128</v>
      </c>
      <c r="R2" s="2" t="s">
        <v>126</v>
      </c>
      <c r="S2" s="2" t="s">
        <v>124</v>
      </c>
      <c r="T2" s="2" t="s">
        <v>126</v>
      </c>
      <c r="U2" s="2" t="s">
        <v>245</v>
      </c>
      <c r="V2" t="s" s="4">
        <v>125</v>
      </c>
    </row>
    <row r="3" spans="1:21">
      <c r="A3" s="2" t="s">
        <v>249</v>
      </c>
      <c r="B3" s="5"/>
      <c r="C3" s="5"/>
      <c r="D3" s="5" t="n">
        <v>2.0</v>
      </c>
      <c r="E3" s="5" t="n">
        <v>3.0</v>
      </c>
      <c r="F3" s="5" t="n">
        <v>3.0</v>
      </c>
      <c r="G3" s="5" t="n">
        <v>1.0</v>
      </c>
      <c r="H3" s="5" t="n">
        <v>2.0</v>
      </c>
      <c r="I3" s="5" t="n">
        <v>2.0</v>
      </c>
      <c r="J3" s="5" t="n">
        <v>2.0</v>
      </c>
      <c r="K3" s="5" t="n">
        <v>1.0</v>
      </c>
      <c r="L3" s="5" t="n">
        <v>1.0</v>
      </c>
      <c r="M3" s="5" t="n">
        <v>1.0</v>
      </c>
      <c r="N3" s="5" t="n">
        <v>1.0</v>
      </c>
      <c r="O3" s="5" t="n">
        <v>1.0</v>
      </c>
      <c r="P3" s="5" t="n">
        <v>1.0</v>
      </c>
      <c r="Q3" s="5" t="n">
        <v>1.0</v>
      </c>
      <c r="R3" s="5" t="n">
        <v>1.0</v>
      </c>
      <c r="S3" s="5" t="n">
        <v>1.0</v>
      </c>
      <c r="T3" t="n" s="4">
        <v>1.0</v>
      </c>
      <c r="U3" t="n" s="4">
        <v>1.0</v>
      </c>
      <c r="V3" t="n" s="4">
        <v>2.0</v>
      </c>
    </row>
    <row r="4" spans="1:21">
      <c r="A4" s="6" t="s">
        <v>250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4"/>
      <c r="V4" t="n" s="4">
        <v>0.0</v>
      </c>
    </row>
    <row r="5" spans="1:21">
      <c r="A5" s="6" t="s">
        <v>8</v>
      </c>
      <c r="B5" s="7" t="s">
        <v>9</v>
      </c>
      <c r="C5" s="7" t="s">
        <v>251</v>
      </c>
      <c r="D5" s="7"/>
      <c r="E5" s="7"/>
      <c r="F5" s="7" t="n">
        <v>2.0</v>
      </c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</row>
    <row r="6" spans="1:21">
      <c r="A6" s="8" t="s">
        <v>10</v>
      </c>
      <c r="B6" s="9" t="s">
        <v>252</v>
      </c>
      <c r="C6" s="9" t="s">
        <v>253</v>
      </c>
      <c r="D6" s="5"/>
      <c r="E6" s="5"/>
      <c r="F6" s="5" t="n">
        <v>2.0</v>
      </c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21">
      <c r="A7" s="2" t="s">
        <v>11</v>
      </c>
      <c r="B7" s="5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</row>
    <row r="8" spans="1:21">
      <c r="A8" s="2" t="s">
        <v>12</v>
      </c>
      <c r="B8" s="5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</row>
    <row r="9" spans="1:21">
      <c r="A9" s="2" t="s">
        <v>13</v>
      </c>
      <c r="B9" s="5"/>
      <c r="C9" s="11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</row>
    <row r="10" spans="1:21">
      <c r="A10" s="2" t="s">
        <v>14</v>
      </c>
      <c r="B10" s="5"/>
      <c r="C10" s="11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</row>
    <row r="11" spans="1:21">
      <c r="A11" s="2" t="s">
        <v>15</v>
      </c>
      <c r="B11" s="5"/>
      <c r="C11" s="11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</row>
    <row r="12" spans="1:21">
      <c r="A12" s="2" t="s">
        <v>16</v>
      </c>
      <c r="B12" s="5"/>
      <c r="C12" s="11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</row>
    <row r="13" spans="1:21">
      <c r="A13" s="2" t="s">
        <v>17</v>
      </c>
      <c r="B13" s="5"/>
      <c r="C13" s="11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</row>
    <row r="14" spans="1:21">
      <c r="A14" s="2" t="s">
        <v>18</v>
      </c>
      <c r="B14" s="5"/>
      <c r="C14" s="11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</row>
    <row r="15" spans="1:21">
      <c r="A15" s="2" t="s">
        <v>19</v>
      </c>
      <c r="B15" s="5"/>
      <c r="C15" s="11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</row>
    <row r="16" spans="1:21">
      <c r="A16" s="2" t="s">
        <v>20</v>
      </c>
      <c r="B16" s="5"/>
      <c r="C16" s="11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</row>
    <row r="17" spans="1:20">
      <c r="A17" s="2" t="s">
        <v>21</v>
      </c>
      <c r="B17" s="5"/>
      <c r="C17" s="11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</row>
    <row r="18" spans="1:20">
      <c r="A18" s="2" t="s">
        <v>22</v>
      </c>
      <c r="B18" s="5"/>
      <c r="C18" s="11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</row>
    <row r="19" spans="1:20">
      <c r="A19" s="2" t="s">
        <v>23</v>
      </c>
      <c r="B19" s="5"/>
      <c r="C19" s="11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</row>
    <row r="20" spans="1:20">
      <c r="A20" s="2" t="s">
        <v>24</v>
      </c>
      <c r="B20" s="5"/>
      <c r="C20" s="11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</row>
    <row r="21" spans="1:20">
      <c r="A21" s="2" t="s">
        <v>25</v>
      </c>
      <c r="B21" s="5"/>
      <c r="C21" s="11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</row>
    <row r="22" spans="1:20">
      <c r="A22" s="2" t="s">
        <v>26</v>
      </c>
      <c r="B22" s="5"/>
      <c r="C22" s="11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</row>
    <row r="23" spans="1:20">
      <c r="A23" s="2" t="s">
        <v>27</v>
      </c>
      <c r="B23" s="5"/>
      <c r="C23" s="11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</row>
    <row r="24" spans="1:20">
      <c r="A24" s="2" t="s">
        <v>28</v>
      </c>
      <c r="B24" s="5"/>
      <c r="C24" s="11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</row>
    <row r="25" spans="1:20">
      <c r="A25" s="2" t="s">
        <v>29</v>
      </c>
      <c r="B25" s="5"/>
      <c r="C25" s="1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</row>
    <row r="26" spans="1:20">
      <c r="A26" s="2" t="s">
        <v>30</v>
      </c>
      <c r="B26" s="5"/>
      <c r="C26" s="1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</row>
    <row r="27" spans="1:20">
      <c r="A27" s="2" t="s">
        <v>31</v>
      </c>
      <c r="B27" s="5"/>
      <c r="C27" s="1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</row>
    <row r="28" spans="1:20">
      <c r="A28" s="2" t="s">
        <v>32</v>
      </c>
      <c r="B28" s="5"/>
      <c r="C28" s="1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</row>
    <row r="29" spans="1:20">
      <c r="A29" s="2" t="s">
        <v>33</v>
      </c>
      <c r="B29" s="5"/>
      <c r="C29" s="1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</row>
    <row r="30" spans="1:20">
      <c r="A30" s="2" t="s">
        <v>34</v>
      </c>
      <c r="B30" s="5"/>
      <c r="C30" s="1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</row>
    <row r="31" spans="1:20">
      <c r="A31" s="2" t="s">
        <v>35</v>
      </c>
      <c r="B31" s="5"/>
      <c r="C31" s="1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</row>
    <row r="32" spans="1:20">
      <c r="A32" s="2" t="s">
        <v>36</v>
      </c>
      <c r="B32" s="5"/>
      <c r="C32" s="1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</row>
    <row r="33" spans="1:20">
      <c r="A33" s="2" t="s">
        <v>37</v>
      </c>
      <c r="B33" s="5"/>
      <c r="C33" s="1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</row>
    <row r="34" spans="1:20">
      <c r="A34" s="2" t="s">
        <v>38</v>
      </c>
      <c r="B34" s="5"/>
      <c r="C34" s="1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</row>
    <row r="35" spans="1:20">
      <c r="A35" s="2" t="s">
        <v>39</v>
      </c>
      <c r="B35" s="5"/>
      <c r="C35" s="1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</row>
    <row r="36" spans="1:20">
      <c r="A36" s="2" t="s">
        <v>40</v>
      </c>
      <c r="B36" s="5"/>
      <c r="C36" s="1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</row>
    <row r="37" spans="1:20">
      <c r="A37" s="2" t="s">
        <v>41</v>
      </c>
      <c r="B37" s="5"/>
      <c r="C37" s="1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</row>
    <row r="38" spans="1:20">
      <c r="A38" s="2" t="s">
        <v>42</v>
      </c>
      <c r="B38" s="5"/>
      <c r="C38" s="1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</row>
    <row r="39" spans="1:20">
      <c r="A39" s="2" t="s">
        <v>43</v>
      </c>
      <c r="B39" s="5"/>
      <c r="C39" s="1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</row>
    <row r="40" spans="1:20">
      <c r="A40" s="2" t="s">
        <v>44</v>
      </c>
      <c r="B40" s="5"/>
      <c r="C40" s="1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</row>
    <row r="41" spans="1:20">
      <c r="A41" s="2" t="s">
        <v>45</v>
      </c>
      <c r="B41" s="5"/>
      <c r="C41" s="1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</row>
    <row r="42" spans="1:20">
      <c r="A42" s="2" t="s">
        <v>46</v>
      </c>
      <c r="B42" s="5"/>
      <c r="C42" s="1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</row>
    <row r="43" spans="1:20">
      <c r="A43" s="2" t="s">
        <v>47</v>
      </c>
      <c r="B43" s="5"/>
      <c r="C43" s="1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</row>
    <row r="44" spans="1:20">
      <c r="A44" s="2" t="s">
        <v>48</v>
      </c>
      <c r="B44" s="5"/>
      <c r="C44" s="1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</row>
    <row r="45" spans="1:20">
      <c r="A45" s="2" t="s">
        <v>49</v>
      </c>
      <c r="B45" s="5"/>
      <c r="C45" s="1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</row>
    <row r="46" spans="1:20">
      <c r="A46" s="2" t="s">
        <v>50</v>
      </c>
      <c r="B46" s="5"/>
      <c r="C46" s="1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</row>
    <row r="47" spans="1:20">
      <c r="A47" s="2" t="s">
        <v>51</v>
      </c>
      <c r="B47" s="5"/>
      <c r="C47" s="1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</row>
    <row r="48" spans="1:20">
      <c r="A48" s="2" t="s">
        <v>52</v>
      </c>
      <c r="B48" s="5"/>
      <c r="C48" s="1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</row>
    <row r="49" spans="1:20">
      <c r="A49" s="2" t="s">
        <v>53</v>
      </c>
      <c r="B49" s="5"/>
      <c r="C49" s="1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</row>
    <row r="50" spans="1:20">
      <c r="A50" s="2" t="s">
        <v>54</v>
      </c>
      <c r="B50" s="5"/>
      <c r="C50" s="1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</row>
    <row r="51" spans="1:20">
      <c r="A51" s="2" t="s">
        <v>55</v>
      </c>
      <c r="B51" s="5"/>
      <c r="C51" s="11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</row>
    <row r="52" spans="1:20">
      <c r="A52" s="2" t="s">
        <v>56</v>
      </c>
      <c r="B52" s="5"/>
      <c r="C52" s="11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</row>
    <row r="53" spans="1:20">
      <c r="A53" s="2" t="s">
        <v>57</v>
      </c>
      <c r="B53" s="5"/>
      <c r="C53" s="11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</row>
    <row r="54" spans="1:20">
      <c r="A54" s="2" t="s">
        <v>58</v>
      </c>
      <c r="B54" s="5"/>
      <c r="C54" s="11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</row>
    <row r="55" spans="1:20">
      <c r="A55" s="2" t="s">
        <v>59</v>
      </c>
      <c r="B55" s="5"/>
      <c r="C55" s="11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</row>
    <row r="56" spans="1:20">
      <c r="A56" s="2" t="s">
        <v>60</v>
      </c>
      <c r="B56" s="5"/>
      <c r="C56" s="11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</row>
    <row r="57" spans="1:20">
      <c r="A57" s="2" t="s">
        <v>61</v>
      </c>
      <c r="B57" s="5"/>
      <c r="C57" s="11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</row>
    <row r="58" spans="1:20">
      <c r="A58" s="2" t="s">
        <v>62</v>
      </c>
      <c r="B58" s="5"/>
      <c r="C58" s="11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</row>
    <row r="59" spans="1:20">
      <c r="A59" s="2" t="s">
        <v>63</v>
      </c>
      <c r="B59" s="5"/>
      <c r="C59" s="11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</row>
    <row r="60" spans="1:20">
      <c r="A60" s="2" t="s">
        <v>64</v>
      </c>
      <c r="B60" s="5"/>
      <c r="C60" s="11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</row>
    <row r="61" spans="1:20">
      <c r="A61" s="2" t="s">
        <v>65</v>
      </c>
      <c r="B61" s="5"/>
      <c r="C61" s="11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</row>
    <row r="62" spans="1:20">
      <c r="A62" s="2" t="s">
        <v>66</v>
      </c>
      <c r="B62" s="5"/>
      <c r="C62" s="11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</row>
    <row r="63" spans="1:20">
      <c r="A63" s="2" t="s">
        <v>67</v>
      </c>
      <c r="B63" s="5"/>
      <c r="C63" s="11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</row>
    <row r="64" spans="1:20">
      <c r="A64" s="2" t="s">
        <v>68</v>
      </c>
      <c r="B64" s="5"/>
      <c r="C64" s="11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</row>
    <row r="65" spans="1:20">
      <c r="A65" s="2" t="s">
        <v>69</v>
      </c>
      <c r="B65" s="5"/>
      <c r="C65" s="11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</row>
    <row r="66" spans="1:20">
      <c r="A66" s="2" t="s">
        <v>70</v>
      </c>
      <c r="B66" s="5"/>
      <c r="C66" s="11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</row>
    <row r="67" spans="1:20">
      <c r="A67" s="2" t="s">
        <v>71</v>
      </c>
      <c r="B67" s="5"/>
      <c r="C67" s="11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</row>
    <row r="68" spans="1:20">
      <c r="A68" s="2" t="s">
        <v>72</v>
      </c>
      <c r="B68" s="5"/>
      <c r="C68" s="11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</row>
    <row r="69" spans="1:20">
      <c r="A69" s="2" t="s">
        <v>73</v>
      </c>
      <c r="B69" s="5"/>
      <c r="C69" s="11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</row>
    <row r="70" spans="1:20">
      <c r="A70" s="2" t="s">
        <v>74</v>
      </c>
      <c r="B70" s="5"/>
      <c r="C70" s="11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</row>
    <row r="71" spans="1:20">
      <c r="A71" s="2" t="s">
        <v>75</v>
      </c>
      <c r="B71" s="5"/>
      <c r="C71" s="11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</row>
    <row r="72" spans="1:20">
      <c r="A72" s="2" t="s">
        <v>76</v>
      </c>
      <c r="B72" s="5"/>
      <c r="C72" s="11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</row>
    <row r="73" spans="1:20">
      <c r="A73" s="2" t="s">
        <v>77</v>
      </c>
      <c r="B73" s="5"/>
      <c r="C73" s="11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</row>
    <row r="74" spans="1:20">
      <c r="A74" s="2" t="s">
        <v>78</v>
      </c>
      <c r="B74" s="5"/>
      <c r="C74" s="11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</row>
    <row r="75" spans="1:20">
      <c r="A75" s="2" t="s">
        <v>79</v>
      </c>
      <c r="B75" s="5"/>
      <c r="C75" s="11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</row>
    <row r="76" spans="1:20">
      <c r="A76" s="2" t="s">
        <v>80</v>
      </c>
      <c r="B76" s="5"/>
      <c r="C76" s="11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</row>
    <row r="77" spans="1:20">
      <c r="A77" s="2" t="s">
        <v>81</v>
      </c>
      <c r="B77" s="5"/>
      <c r="C77" s="11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</row>
    <row r="78" spans="1:20">
      <c r="A78" s="2" t="s">
        <v>82</v>
      </c>
      <c r="B78" s="5"/>
      <c r="C78" s="11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</row>
    <row r="79" spans="1:20">
      <c r="A79" s="2" t="s">
        <v>83</v>
      </c>
      <c r="B79" s="5"/>
      <c r="C79" s="11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</row>
    <row r="80" spans="1:20">
      <c r="A80" s="2" t="s">
        <v>84</v>
      </c>
      <c r="B80" s="5"/>
      <c r="C80" s="11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</row>
    <row r="81" spans="1:20">
      <c r="A81" s="2" t="s">
        <v>85</v>
      </c>
      <c r="B81" s="5"/>
      <c r="C81" s="11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</row>
    <row r="82" spans="1:20">
      <c r="A82" s="2" t="s">
        <v>86</v>
      </c>
      <c r="B82" s="5"/>
      <c r="C82" s="11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</row>
    <row r="83" spans="1:20">
      <c r="A83" s="2" t="s">
        <v>87</v>
      </c>
      <c r="B83" s="5"/>
      <c r="C83" s="11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</row>
    <row r="84" spans="1:20">
      <c r="A84" s="2" t="s">
        <v>88</v>
      </c>
      <c r="B84" s="5"/>
      <c r="C84" s="11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</row>
    <row r="85" spans="1:20">
      <c r="A85" s="2" t="s">
        <v>89</v>
      </c>
      <c r="B85" s="5"/>
      <c r="C85" s="11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</row>
    <row r="86" spans="1:20">
      <c r="A86" s="2" t="s">
        <v>90</v>
      </c>
      <c r="B86" s="5"/>
      <c r="C86" s="11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</row>
    <row r="87" spans="1:20">
      <c r="A87" s="2" t="s">
        <v>91</v>
      </c>
      <c r="B87" s="5"/>
      <c r="C87" s="11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</row>
    <row r="88" spans="1:20">
      <c r="A88" s="2" t="s">
        <v>92</v>
      </c>
      <c r="B88" s="5"/>
      <c r="C88" s="11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</row>
    <row r="89" spans="1:20">
      <c r="A89" s="2" t="s">
        <v>93</v>
      </c>
      <c r="B89" s="5"/>
      <c r="C89" s="11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</row>
    <row r="90" spans="1:20">
      <c r="A90" s="2" t="s">
        <v>94</v>
      </c>
      <c r="B90" s="5"/>
      <c r="C90" s="11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</row>
    <row r="91" spans="1:20">
      <c r="A91" s="2" t="s">
        <v>95</v>
      </c>
      <c r="B91" s="5"/>
      <c r="C91" s="11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</row>
    <row r="92" spans="1:20">
      <c r="A92" s="2" t="s">
        <v>96</v>
      </c>
      <c r="B92" s="5"/>
      <c r="C92" s="11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</row>
    <row r="93" spans="1:20">
      <c r="A93" s="2" t="s">
        <v>97</v>
      </c>
      <c r="B93" s="5"/>
      <c r="C93" s="11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</row>
    <row r="94" spans="1:20">
      <c r="A94" s="2" t="s">
        <v>98</v>
      </c>
      <c r="B94" s="5"/>
      <c r="C94" s="11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</row>
    <row r="95" spans="1:20">
      <c r="A95" s="2" t="s">
        <v>99</v>
      </c>
      <c r="B95" s="5"/>
      <c r="C95" s="11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</row>
    <row r="96" spans="1:20">
      <c r="A96" s="2" t="s">
        <v>100</v>
      </c>
      <c r="B96" s="5"/>
      <c r="C96" s="11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</row>
    <row r="97" spans="1:20">
      <c r="A97" s="2" t="s">
        <v>101</v>
      </c>
      <c r="B97" s="5"/>
      <c r="C97" s="11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</row>
    <row r="98" spans="1:20">
      <c r="A98" s="2" t="s">
        <v>102</v>
      </c>
      <c r="B98" s="5"/>
      <c r="C98" s="11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</row>
    <row r="99" spans="1:20">
      <c r="A99" s="2" t="s">
        <v>103</v>
      </c>
      <c r="B99" s="5"/>
      <c r="C99" s="11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</row>
    <row r="100" spans="1:20">
      <c r="A100" s="2" t="s">
        <v>104</v>
      </c>
      <c r="B100" s="5"/>
      <c r="C100" s="11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</row>
    <row r="101" spans="1:20">
      <c r="A101" s="2" t="s">
        <v>105</v>
      </c>
      <c r="B101" s="5"/>
      <c r="C101" s="11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</row>
    <row r="102" spans="1:20">
      <c r="A102" s="2" t="s">
        <v>106</v>
      </c>
      <c r="B102" s="5"/>
      <c r="C102" s="11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</row>
    <row r="103" spans="1:20">
      <c r="A103" s="2" t="s">
        <v>107</v>
      </c>
      <c r="B103" s="5"/>
      <c r="C103" s="11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V104"/>
  <sheetViews>
    <sheetView tabSelected="1" zoomScaleNormal="100" workbookViewId="0">
      <selection activeCell="U5" sqref="U5"/>
    </sheetView>
  </sheetViews>
  <sheetFormatPr defaultColWidth="8.6640625" defaultRowHeight="13"/>
  <cols>
    <col min="1" max="1" bestFit="true" customWidth="true" style="14" width="12.58203125"/>
    <col min="2" max="2" bestFit="true" customWidth="true" style="4" width="9.9140625"/>
    <col min="3" max="3" bestFit="true" customWidth="true" style="13" width="8.83203125"/>
    <col min="4" max="4" bestFit="true" customWidth="true" style="4" width="11.08203125"/>
    <col min="5" max="6" bestFit="true" customWidth="true" style="4" width="12.5"/>
    <col min="7" max="7" bestFit="true" customWidth="true" style="4" width="15.9140625"/>
    <col min="8" max="8" bestFit="true" customWidth="true" style="4" width="16.4140625"/>
    <col min="9" max="9" bestFit="true" customWidth="true" style="4" width="13.5"/>
    <col min="10" max="13" bestFit="true" customWidth="true" style="4" width="13.9140625"/>
    <col min="14" max="14" bestFit="true" customWidth="true" style="4" width="15.9140625"/>
    <col min="15" max="16" bestFit="true" customWidth="true" style="4" width="16.4140625"/>
    <col min="17" max="17" bestFit="true" customWidth="true" style="4" width="13.5"/>
    <col min="18" max="18" bestFit="true" customWidth="true" style="4" width="15.9140625"/>
    <col min="19" max="19" bestFit="true" customWidth="true" style="4" width="11.08203125"/>
    <col min="20" max="20" bestFit="true" customWidth="true" style="4" width="15.9140625"/>
    <col min="21" max="21" bestFit="true" customWidth="true" style="4" width="16.1640625"/>
    <col min="22" max="16384" style="4" width="8.6640625"/>
  </cols>
  <sheetData>
    <row r="1" spans="1:21">
      <c r="A1" s="2" t="s">
        <v>186</v>
      </c>
      <c r="B1" s="2"/>
      <c r="C1" s="3"/>
      <c r="D1" s="2" t="s">
        <v>194</v>
      </c>
      <c r="E1" s="2" t="s">
        <v>194</v>
      </c>
      <c r="F1" s="2" t="s">
        <v>200</v>
      </c>
      <c r="G1" s="2" t="s">
        <v>4</v>
      </c>
      <c r="H1" s="2" t="s">
        <v>5</v>
      </c>
      <c r="I1" s="2" t="s">
        <v>6</v>
      </c>
      <c r="J1" s="2" t="s">
        <v>130</v>
      </c>
      <c r="K1" s="2" t="s">
        <v>134</v>
      </c>
      <c r="L1" s="2" t="s">
        <v>244</v>
      </c>
      <c r="M1" s="2" t="s">
        <v>7</v>
      </c>
      <c r="N1" s="2" t="s">
        <v>130</v>
      </c>
      <c r="O1" s="2" t="s">
        <v>130</v>
      </c>
      <c r="P1" s="2" t="s">
        <v>131</v>
      </c>
      <c r="Q1" s="2" t="s">
        <v>131</v>
      </c>
      <c r="R1" s="2" t="s">
        <v>131</v>
      </c>
      <c r="S1" s="2" t="s">
        <v>131</v>
      </c>
      <c r="T1" s="2" t="s">
        <v>212</v>
      </c>
      <c r="U1" s="2" t="s">
        <v>245</v>
      </c>
      <c r="V1" t="s" s="4">
        <v>262</v>
      </c>
    </row>
    <row r="2" spans="1:21">
      <c r="A2" s="2" t="s">
        <v>187</v>
      </c>
      <c r="B2" s="2"/>
      <c r="C2" s="2"/>
      <c r="D2" s="2" t="s">
        <v>124</v>
      </c>
      <c r="E2" s="2" t="s">
        <v>125</v>
      </c>
      <c r="F2" s="2" t="s">
        <v>125</v>
      </c>
      <c r="G2" s="2" t="s">
        <v>126</v>
      </c>
      <c r="H2" s="2" t="s">
        <v>127</v>
      </c>
      <c r="I2" s="2" t="s">
        <v>128</v>
      </c>
      <c r="J2" s="2" t="s">
        <v>129</v>
      </c>
      <c r="K2" s="2" t="s">
        <v>129</v>
      </c>
      <c r="L2" s="2" t="s">
        <v>129</v>
      </c>
      <c r="M2" s="2" t="s">
        <v>129</v>
      </c>
      <c r="N2" s="2" t="s">
        <v>126</v>
      </c>
      <c r="O2" s="2" t="s">
        <v>127</v>
      </c>
      <c r="P2" s="2" t="s">
        <v>127</v>
      </c>
      <c r="Q2" s="2" t="s">
        <v>128</v>
      </c>
      <c r="R2" s="2" t="s">
        <v>126</v>
      </c>
      <c r="S2" s="2" t="s">
        <v>124</v>
      </c>
      <c r="T2" s="2" t="s">
        <v>126</v>
      </c>
      <c r="U2" s="2" t="s">
        <v>245</v>
      </c>
      <c r="V2" t="s" s="4">
        <v>125</v>
      </c>
    </row>
    <row r="3" spans="1:21">
      <c r="A3" s="2" t="s">
        <v>254</v>
      </c>
      <c r="B3" s="5"/>
      <c r="C3" s="5"/>
      <c r="D3" s="5" t="n">
        <v>20.0</v>
      </c>
      <c r="E3" s="5" t="n">
        <v>25.0</v>
      </c>
      <c r="F3" s="5" t="n">
        <v>27.0</v>
      </c>
      <c r="G3" s="5" t="n">
        <v>25.0</v>
      </c>
      <c r="H3" s="5" t="n">
        <v>20.0</v>
      </c>
      <c r="I3" s="5" t="n">
        <v>10.0</v>
      </c>
      <c r="J3" s="5" t="n">
        <v>20.0</v>
      </c>
      <c r="K3" s="5" t="n">
        <v>20.0</v>
      </c>
      <c r="L3" s="5" t="n">
        <v>10.0</v>
      </c>
      <c r="M3" s="5" t="n">
        <v>15.0</v>
      </c>
      <c r="N3" s="5" t="n">
        <v>25.0</v>
      </c>
      <c r="O3" s="5" t="n">
        <v>25.0</v>
      </c>
      <c r="P3" s="5" t="n">
        <v>25.0</v>
      </c>
      <c r="Q3" s="5" t="n">
        <v>10.0</v>
      </c>
      <c r="R3" s="5" t="n">
        <v>25.0</v>
      </c>
      <c r="S3" s="5" t="n">
        <v>20.0</v>
      </c>
      <c r="T3" t="n" s="4">
        <v>25.0</v>
      </c>
      <c r="U3" t="n" s="4">
        <v>20.0</v>
      </c>
      <c r="V3" t="n" s="4">
        <v>27.0</v>
      </c>
    </row>
    <row r="4" spans="1:21">
      <c r="A4" s="6" t="s">
        <v>255</v>
      </c>
      <c r="B4" s="7"/>
      <c r="C4" s="7"/>
      <c r="D4" s="7" t="n">
        <v>1.0</v>
      </c>
      <c r="E4" s="7" t="n">
        <v>1.0</v>
      </c>
      <c r="F4" s="7" t="n">
        <v>1.0</v>
      </c>
      <c r="G4" s="7" t="n">
        <v>0.7</v>
      </c>
      <c r="H4" s="7" t="n">
        <v>0.9</v>
      </c>
      <c r="I4" s="7" t="n">
        <v>1.0</v>
      </c>
      <c r="J4" s="7" t="n">
        <v>1.0</v>
      </c>
      <c r="K4" s="7" t="n">
        <v>1.0</v>
      </c>
      <c r="L4" s="7" t="n">
        <v>1.0</v>
      </c>
      <c r="M4" s="7" t="n">
        <v>1.0</v>
      </c>
      <c r="N4" s="7" t="n">
        <v>0.7</v>
      </c>
      <c r="O4" s="7" t="n">
        <v>1.0</v>
      </c>
      <c r="P4" s="7" t="n">
        <v>1.0</v>
      </c>
      <c r="Q4" s="7" t="n">
        <v>1.0</v>
      </c>
      <c r="R4" s="7" t="n">
        <v>0.7</v>
      </c>
      <c r="S4" s="7" t="n">
        <v>1.0</v>
      </c>
      <c r="T4" s="7" t="n">
        <v>0.7</v>
      </c>
      <c r="U4" s="4" t="n">
        <v>1.0</v>
      </c>
      <c r="V4" t="n" s="4">
        <v>1.0</v>
      </c>
    </row>
    <row r="5" spans="1:21">
      <c r="A5" s="6"/>
      <c r="B5" s="7" t="s">
        <v>256</v>
      </c>
      <c r="C5" s="7" t="s">
        <v>257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4"/>
    </row>
    <row r="6" spans="1:21">
      <c r="A6" s="8" t="s">
        <v>8</v>
      </c>
      <c r="B6" s="9"/>
      <c r="C6" s="9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21">
      <c r="A7" s="2" t="s">
        <v>10</v>
      </c>
      <c r="B7" s="5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</row>
    <row r="8" spans="1:21">
      <c r="A8" s="2" t="s">
        <v>11</v>
      </c>
      <c r="B8" s="5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</row>
    <row r="9" spans="1:21">
      <c r="A9" s="2" t="s">
        <v>12</v>
      </c>
      <c r="B9" s="5"/>
      <c r="C9" s="11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</row>
    <row r="10" spans="1:21">
      <c r="A10" s="2" t="s">
        <v>13</v>
      </c>
      <c r="B10" s="5"/>
      <c r="C10" s="11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</row>
    <row r="11" spans="1:21">
      <c r="A11" s="2" t="s">
        <v>14</v>
      </c>
      <c r="B11" s="5"/>
      <c r="C11" s="11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</row>
    <row r="12" spans="1:21">
      <c r="A12" s="2" t="s">
        <v>15</v>
      </c>
      <c r="B12" s="5"/>
      <c r="C12" s="11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</row>
    <row r="13" spans="1:21">
      <c r="A13" s="2" t="s">
        <v>16</v>
      </c>
      <c r="B13" s="5"/>
      <c r="C13" s="11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</row>
    <row r="14" spans="1:21">
      <c r="A14" s="2" t="s">
        <v>17</v>
      </c>
      <c r="B14" s="5"/>
      <c r="C14" s="11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</row>
    <row r="15" spans="1:21">
      <c r="A15" s="2" t="s">
        <v>18</v>
      </c>
      <c r="B15" s="5"/>
      <c r="C15" s="11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</row>
    <row r="16" spans="1:21">
      <c r="A16" s="2" t="s">
        <v>19</v>
      </c>
      <c r="B16" s="5"/>
      <c r="C16" s="11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</row>
    <row r="17" spans="1:20">
      <c r="A17" s="2" t="s">
        <v>20</v>
      </c>
      <c r="B17" s="5"/>
      <c r="C17" s="11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</row>
    <row r="18" spans="1:20">
      <c r="A18" s="2" t="s">
        <v>21</v>
      </c>
      <c r="B18" s="5"/>
      <c r="C18" s="11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</row>
    <row r="19" spans="1:20">
      <c r="A19" s="2" t="s">
        <v>22</v>
      </c>
      <c r="B19" s="5"/>
      <c r="C19" s="11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</row>
    <row r="20" spans="1:20">
      <c r="A20" s="2" t="s">
        <v>23</v>
      </c>
      <c r="B20" s="5"/>
      <c r="C20" s="11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</row>
    <row r="21" spans="1:20">
      <c r="A21" s="2" t="s">
        <v>24</v>
      </c>
      <c r="B21" s="5"/>
      <c r="C21" s="11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</row>
    <row r="22" spans="1:20">
      <c r="A22" s="2" t="s">
        <v>25</v>
      </c>
      <c r="B22" s="5"/>
      <c r="C22" s="11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</row>
    <row r="23" spans="1:20">
      <c r="A23" s="2" t="s">
        <v>26</v>
      </c>
      <c r="B23" s="5"/>
      <c r="C23" s="11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</row>
    <row r="24" spans="1:20">
      <c r="A24" s="2" t="s">
        <v>27</v>
      </c>
      <c r="B24" s="5"/>
      <c r="C24" s="11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</row>
    <row r="25" spans="1:20">
      <c r="A25" s="2" t="s">
        <v>28</v>
      </c>
      <c r="B25" s="5"/>
      <c r="C25" s="11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</row>
    <row r="26" spans="1:20">
      <c r="A26" s="2" t="s">
        <v>29</v>
      </c>
      <c r="B26" s="5"/>
      <c r="C26" s="11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</row>
    <row r="27" spans="1:20">
      <c r="A27" s="2" t="s">
        <v>30</v>
      </c>
      <c r="B27" s="5"/>
      <c r="C27" s="11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</row>
    <row r="28" spans="1:20">
      <c r="A28" s="2" t="s">
        <v>31</v>
      </c>
      <c r="B28" s="5"/>
      <c r="C28" s="11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</row>
    <row r="29" spans="1:20">
      <c r="A29" s="2" t="s">
        <v>32</v>
      </c>
      <c r="B29" s="5"/>
      <c r="C29" s="11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</row>
    <row r="30" spans="1:20">
      <c r="A30" s="2" t="s">
        <v>33</v>
      </c>
      <c r="B30" s="5"/>
      <c r="C30" s="11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</row>
    <row r="31" spans="1:20">
      <c r="A31" s="2" t="s">
        <v>34</v>
      </c>
      <c r="B31" s="5"/>
      <c r="C31" s="11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</row>
    <row r="32" spans="1:20">
      <c r="A32" s="2" t="s">
        <v>35</v>
      </c>
      <c r="B32" s="5"/>
      <c r="C32" s="11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</row>
    <row r="33" spans="1:20">
      <c r="A33" s="2" t="s">
        <v>36</v>
      </c>
      <c r="B33" s="5"/>
      <c r="C33" s="11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</row>
    <row r="34" spans="1:20">
      <c r="A34" s="2" t="s">
        <v>37</v>
      </c>
      <c r="B34" s="5"/>
      <c r="C34" s="11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</row>
    <row r="35" spans="1:20">
      <c r="A35" s="2" t="s">
        <v>38</v>
      </c>
      <c r="B35" s="5"/>
      <c r="C35" s="11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</row>
    <row r="36" spans="1:20">
      <c r="A36" s="2" t="s">
        <v>39</v>
      </c>
      <c r="B36" s="5"/>
      <c r="C36" s="11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</row>
    <row r="37" spans="1:20">
      <c r="A37" s="2" t="s">
        <v>40</v>
      </c>
      <c r="B37" s="5"/>
      <c r="C37" s="11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</row>
    <row r="38" spans="1:20">
      <c r="A38" s="2" t="s">
        <v>41</v>
      </c>
      <c r="B38" s="5"/>
      <c r="C38" s="11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</row>
    <row r="39" spans="1:20">
      <c r="A39" s="2" t="s">
        <v>42</v>
      </c>
      <c r="B39" s="5"/>
      <c r="C39" s="11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</row>
    <row r="40" spans="1:20">
      <c r="A40" s="2" t="s">
        <v>43</v>
      </c>
      <c r="B40" s="5"/>
      <c r="C40" s="11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</row>
    <row r="41" spans="1:20">
      <c r="A41" s="2" t="s">
        <v>44</v>
      </c>
      <c r="B41" s="5"/>
      <c r="C41" s="11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</row>
    <row r="42" spans="1:20">
      <c r="A42" s="2" t="s">
        <v>45</v>
      </c>
      <c r="B42" s="5"/>
      <c r="C42" s="11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</row>
    <row r="43" spans="1:20">
      <c r="A43" s="2" t="s">
        <v>46</v>
      </c>
      <c r="B43" s="5"/>
      <c r="C43" s="11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</row>
    <row r="44" spans="1:20">
      <c r="A44" s="2" t="s">
        <v>47</v>
      </c>
      <c r="B44" s="5"/>
      <c r="C44" s="11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</row>
    <row r="45" spans="1:20">
      <c r="A45" s="2" t="s">
        <v>48</v>
      </c>
      <c r="B45" s="5"/>
      <c r="C45" s="11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</row>
    <row r="46" spans="1:20">
      <c r="A46" s="2" t="s">
        <v>49</v>
      </c>
      <c r="B46" s="5"/>
      <c r="C46" s="11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</row>
    <row r="47" spans="1:20">
      <c r="A47" s="2" t="s">
        <v>50</v>
      </c>
      <c r="B47" s="5"/>
      <c r="C47" s="11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</row>
    <row r="48" spans="1:20">
      <c r="A48" s="2" t="s">
        <v>51</v>
      </c>
      <c r="B48" s="5"/>
      <c r="C48" s="11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</row>
    <row r="49" spans="1:20">
      <c r="A49" s="2" t="s">
        <v>52</v>
      </c>
      <c r="B49" s="5"/>
      <c r="C49" s="11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</row>
    <row r="50" spans="1:20">
      <c r="A50" s="2" t="s">
        <v>53</v>
      </c>
      <c r="B50" s="5"/>
      <c r="C50" s="11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</row>
    <row r="51" spans="1:20">
      <c r="A51" s="2" t="s">
        <v>54</v>
      </c>
      <c r="B51" s="5"/>
      <c r="C51" s="11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</row>
    <row r="52" spans="1:20">
      <c r="A52" s="2" t="s">
        <v>55</v>
      </c>
      <c r="B52" s="5"/>
      <c r="C52" s="11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</row>
    <row r="53" spans="1:20">
      <c r="A53" s="2" t="s">
        <v>56</v>
      </c>
      <c r="B53" s="5"/>
      <c r="C53" s="11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</row>
    <row r="54" spans="1:20">
      <c r="A54" s="2" t="s">
        <v>57</v>
      </c>
      <c r="B54" s="5"/>
      <c r="C54" s="11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</row>
    <row r="55" spans="1:20">
      <c r="A55" s="2" t="s">
        <v>58</v>
      </c>
      <c r="B55" s="5"/>
      <c r="C55" s="11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</row>
    <row r="56" spans="1:20">
      <c r="A56" s="2" t="s">
        <v>59</v>
      </c>
      <c r="B56" s="5"/>
      <c r="C56" s="11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</row>
    <row r="57" spans="1:20">
      <c r="A57" s="2" t="s">
        <v>60</v>
      </c>
      <c r="B57" s="5"/>
      <c r="C57" s="11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</row>
    <row r="58" spans="1:20">
      <c r="A58" s="2" t="s">
        <v>61</v>
      </c>
      <c r="B58" s="5"/>
      <c r="C58" s="11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</row>
    <row r="59" spans="1:20">
      <c r="A59" s="2" t="s">
        <v>62</v>
      </c>
      <c r="B59" s="5"/>
      <c r="C59" s="11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</row>
    <row r="60" spans="1:20">
      <c r="A60" s="2" t="s">
        <v>63</v>
      </c>
      <c r="B60" s="5"/>
      <c r="C60" s="11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</row>
    <row r="61" spans="1:20">
      <c r="A61" s="2" t="s">
        <v>64</v>
      </c>
      <c r="B61" s="5"/>
      <c r="C61" s="11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</row>
    <row r="62" spans="1:20">
      <c r="A62" s="2" t="s">
        <v>65</v>
      </c>
      <c r="B62" s="5"/>
      <c r="C62" s="11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</row>
    <row r="63" spans="1:20">
      <c r="A63" s="2" t="s">
        <v>66</v>
      </c>
      <c r="B63" s="5"/>
      <c r="C63" s="11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</row>
    <row r="64" spans="1:20">
      <c r="A64" s="2" t="s">
        <v>67</v>
      </c>
      <c r="B64" s="5"/>
      <c r="C64" s="11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</row>
    <row r="65" spans="1:20">
      <c r="A65" s="2" t="s">
        <v>68</v>
      </c>
      <c r="B65" s="5"/>
      <c r="C65" s="11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</row>
    <row r="66" spans="1:20">
      <c r="A66" s="2" t="s">
        <v>69</v>
      </c>
      <c r="B66" s="5"/>
      <c r="C66" s="11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</row>
    <row r="67" spans="1:20">
      <c r="A67" s="2" t="s">
        <v>70</v>
      </c>
      <c r="B67" s="5"/>
      <c r="C67" s="11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</row>
    <row r="68" spans="1:20">
      <c r="A68" s="2" t="s">
        <v>71</v>
      </c>
      <c r="B68" s="5"/>
      <c r="C68" s="11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</row>
    <row r="69" spans="1:20">
      <c r="A69" s="2" t="s">
        <v>72</v>
      </c>
      <c r="B69" s="5"/>
      <c r="C69" s="11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</row>
    <row r="70" spans="1:20">
      <c r="A70" s="2" t="s">
        <v>73</v>
      </c>
      <c r="B70" s="5"/>
      <c r="C70" s="11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</row>
    <row r="71" spans="1:20">
      <c r="A71" s="2" t="s">
        <v>74</v>
      </c>
      <c r="B71" s="5"/>
      <c r="C71" s="11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</row>
    <row r="72" spans="1:20">
      <c r="A72" s="2" t="s">
        <v>75</v>
      </c>
      <c r="B72" s="5"/>
      <c r="C72" s="11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</row>
    <row r="73" spans="1:20">
      <c r="A73" s="2" t="s">
        <v>76</v>
      </c>
      <c r="B73" s="5"/>
      <c r="C73" s="11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</row>
    <row r="74" spans="1:20">
      <c r="A74" s="2" t="s">
        <v>77</v>
      </c>
      <c r="B74" s="5"/>
      <c r="C74" s="11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</row>
    <row r="75" spans="1:20">
      <c r="A75" s="2" t="s">
        <v>78</v>
      </c>
      <c r="B75" s="5"/>
      <c r="C75" s="11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</row>
    <row r="76" spans="1:20">
      <c r="A76" s="2" t="s">
        <v>79</v>
      </c>
      <c r="B76" s="5"/>
      <c r="C76" s="11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</row>
    <row r="77" spans="1:20">
      <c r="A77" s="2" t="s">
        <v>80</v>
      </c>
      <c r="B77" s="5"/>
      <c r="C77" s="11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</row>
    <row r="78" spans="1:20">
      <c r="A78" s="2" t="s">
        <v>81</v>
      </c>
      <c r="B78" s="5"/>
      <c r="C78" s="11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</row>
    <row r="79" spans="1:20">
      <c r="A79" s="2" t="s">
        <v>82</v>
      </c>
      <c r="B79" s="5"/>
      <c r="C79" s="11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</row>
    <row r="80" spans="1:20">
      <c r="A80" s="2" t="s">
        <v>83</v>
      </c>
      <c r="B80" s="5"/>
      <c r="C80" s="11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</row>
    <row r="81" spans="1:20">
      <c r="A81" s="2" t="s">
        <v>84</v>
      </c>
      <c r="B81" s="5"/>
      <c r="C81" s="11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</row>
    <row r="82" spans="1:20">
      <c r="A82" s="2" t="s">
        <v>85</v>
      </c>
      <c r="B82" s="5"/>
      <c r="C82" s="11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</row>
    <row r="83" spans="1:20">
      <c r="A83" s="2" t="s">
        <v>86</v>
      </c>
      <c r="B83" s="5"/>
      <c r="C83" s="11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</row>
    <row r="84" spans="1:20">
      <c r="A84" s="2" t="s">
        <v>87</v>
      </c>
      <c r="B84" s="5"/>
      <c r="C84" s="11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</row>
    <row r="85" spans="1:20">
      <c r="A85" s="2" t="s">
        <v>88</v>
      </c>
      <c r="B85" s="5"/>
      <c r="C85" s="11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</row>
    <row r="86" spans="1:20">
      <c r="A86" s="2" t="s">
        <v>89</v>
      </c>
      <c r="B86" s="5"/>
      <c r="C86" s="11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</row>
    <row r="87" spans="1:20">
      <c r="A87" s="2" t="s">
        <v>90</v>
      </c>
      <c r="B87" s="5"/>
      <c r="C87" s="11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</row>
    <row r="88" spans="1:20">
      <c r="A88" s="2" t="s">
        <v>91</v>
      </c>
      <c r="B88" s="5"/>
      <c r="C88" s="11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</row>
    <row r="89" spans="1:20">
      <c r="A89" s="2" t="s">
        <v>92</v>
      </c>
      <c r="B89" s="5"/>
      <c r="C89" s="11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</row>
    <row r="90" spans="1:20">
      <c r="A90" s="2" t="s">
        <v>93</v>
      </c>
      <c r="B90" s="5"/>
      <c r="C90" s="11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</row>
    <row r="91" spans="1:20">
      <c r="A91" s="2" t="s">
        <v>94</v>
      </c>
      <c r="B91" s="5"/>
      <c r="C91" s="11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</row>
    <row r="92" spans="1:20">
      <c r="A92" s="2" t="s">
        <v>95</v>
      </c>
      <c r="B92" s="5"/>
      <c r="C92" s="11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</row>
    <row r="93" spans="1:20">
      <c r="A93" s="2" t="s">
        <v>96</v>
      </c>
      <c r="B93" s="5"/>
      <c r="C93" s="11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</row>
    <row r="94" spans="1:20">
      <c r="A94" s="2" t="s">
        <v>97</v>
      </c>
      <c r="B94" s="5"/>
      <c r="C94" s="11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</row>
    <row r="95" spans="1:20">
      <c r="A95" s="2" t="s">
        <v>98</v>
      </c>
      <c r="B95" s="5"/>
      <c r="C95" s="11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</row>
    <row r="96" spans="1:20">
      <c r="A96" s="2" t="s">
        <v>99</v>
      </c>
      <c r="B96" s="5"/>
      <c r="C96" s="11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</row>
    <row r="97" spans="1:20">
      <c r="A97" s="2" t="s">
        <v>100</v>
      </c>
      <c r="B97" s="5"/>
      <c r="C97" s="11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</row>
    <row r="98" spans="1:20">
      <c r="A98" s="2" t="s">
        <v>101</v>
      </c>
      <c r="B98" s="5"/>
      <c r="C98" s="11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</row>
    <row r="99" spans="1:20">
      <c r="A99" s="2" t="s">
        <v>102</v>
      </c>
      <c r="B99" s="5"/>
      <c r="C99" s="11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</row>
    <row r="100" spans="1:20">
      <c r="A100" s="2" t="s">
        <v>103</v>
      </c>
      <c r="B100" s="5"/>
      <c r="C100" s="11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</row>
    <row r="101" spans="1:20">
      <c r="A101" s="2" t="s">
        <v>104</v>
      </c>
      <c r="B101" s="5"/>
      <c r="C101" s="11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</row>
    <row r="102" spans="1:20">
      <c r="A102" s="2" t="s">
        <v>105</v>
      </c>
      <c r="B102" s="5"/>
      <c r="C102" s="11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</row>
    <row r="103" spans="1:20">
      <c r="A103" s="2" t="s">
        <v>106</v>
      </c>
      <c r="B103" s="5"/>
      <c r="C103" s="11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</row>
    <row r="104" spans="1:20">
      <c r="A104" s="2" t="s">
        <v>107</v>
      </c>
      <c r="B104" s="5"/>
      <c r="C104" s="11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workbookViewId="0">
      <selection activeCell="A18" sqref="A18:F18"/>
    </sheetView>
  </sheetViews>
  <sheetFormatPr defaultRowHeight="18"/>
  <cols>
    <col min="1" max="1" bestFit="true" customWidth="true" width="8.83203125"/>
    <col min="2" max="2" bestFit="true" customWidth="true" width="16.33203125"/>
    <col min="3" max="3" bestFit="true" customWidth="true" width="16.5"/>
    <col min="4" max="4" bestFit="true" customWidth="true" width="18.5"/>
    <col min="5" max="5" bestFit="true" customWidth="true" width="10.58203125"/>
    <col min="6" max="6" bestFit="true" customWidth="true" width="20.4140625"/>
  </cols>
  <sheetData>
    <row r="1" spans="1:6" s="39" customFormat="1">
      <c r="A1" s="25" t="s">
        <v>186</v>
      </c>
      <c r="B1" s="25" t="s">
        <v>187</v>
      </c>
      <c r="C1" s="25" t="s">
        <v>229</v>
      </c>
      <c r="D1" s="25" t="s">
        <v>228</v>
      </c>
      <c r="E1" s="25" t="s">
        <v>230</v>
      </c>
      <c r="F1" s="25" t="s">
        <v>231</v>
      </c>
    </row>
    <row r="2" spans="1:6">
      <c r="A2" s="5" t="s">
        <v>194</v>
      </c>
      <c r="B2" s="5" t="s">
        <v>124</v>
      </c>
      <c r="C2" s="5">
        <v>5</v>
      </c>
      <c r="D2" s="5">
        <v>1</v>
      </c>
      <c r="E2" s="5">
        <v>10</v>
      </c>
      <c r="F2" s="5">
        <v>3</v>
      </c>
    </row>
    <row r="3" spans="1:6">
      <c r="A3" s="5" t="s">
        <v>131</v>
      </c>
      <c r="B3" s="5" t="s">
        <v>124</v>
      </c>
      <c r="C3" s="5">
        <v>0</v>
      </c>
      <c r="D3" s="5">
        <v>0</v>
      </c>
      <c r="E3" s="5">
        <v>0</v>
      </c>
      <c r="F3" s="5">
        <v>0</v>
      </c>
    </row>
    <row r="4" spans="1:6">
      <c r="A4" s="5" t="s">
        <v>7</v>
      </c>
      <c r="B4" s="5" t="s">
        <v>129</v>
      </c>
      <c r="C4" s="5">
        <v>20</v>
      </c>
      <c r="D4" s="5">
        <v>1</v>
      </c>
      <c r="E4" s="5">
        <v>10</v>
      </c>
      <c r="F4" s="5">
        <v>10</v>
      </c>
    </row>
    <row r="5" spans="1:6">
      <c r="A5" s="5" t="s">
        <v>130</v>
      </c>
      <c r="B5" s="5" t="s">
        <v>129</v>
      </c>
      <c r="C5" s="5">
        <v>5</v>
      </c>
      <c r="D5" s="5">
        <v>10</v>
      </c>
      <c r="E5" s="5">
        <v>10</v>
      </c>
      <c r="F5" s="5">
        <v>2</v>
      </c>
    </row>
    <row r="6" spans="1:6">
      <c r="A6" s="5" t="s">
        <v>194</v>
      </c>
      <c r="B6" s="5" t="s">
        <v>125</v>
      </c>
      <c r="C6" s="5">
        <v>20</v>
      </c>
      <c r="D6" s="5">
        <v>2</v>
      </c>
      <c r="E6" s="5">
        <v>30</v>
      </c>
      <c r="F6" s="5">
        <v>5</v>
      </c>
    </row>
    <row r="7" spans="1:6">
      <c r="A7" s="5" t="s">
        <v>200</v>
      </c>
      <c r="B7" s="5" t="s">
        <v>125</v>
      </c>
      <c r="C7" s="5">
        <v>10</v>
      </c>
      <c r="D7" s="5">
        <v>2</v>
      </c>
      <c r="E7" s="5">
        <v>30</v>
      </c>
      <c r="F7" s="5">
        <v>3</v>
      </c>
    </row>
    <row r="8" spans="1:6">
      <c r="A8" s="5" t="s">
        <v>4</v>
      </c>
      <c r="B8" s="5" t="s">
        <v>126</v>
      </c>
      <c r="C8" s="5">
        <v>15</v>
      </c>
      <c r="D8" s="5">
        <v>1</v>
      </c>
      <c r="E8" s="5">
        <v>15</v>
      </c>
      <c r="F8" s="5">
        <v>3</v>
      </c>
    </row>
    <row r="9" spans="1:6">
      <c r="A9" s="5" t="s">
        <v>130</v>
      </c>
      <c r="B9" s="5" t="s">
        <v>126</v>
      </c>
      <c r="C9" s="5">
        <v>5</v>
      </c>
      <c r="D9" s="5">
        <v>1</v>
      </c>
      <c r="E9" s="5">
        <v>15</v>
      </c>
      <c r="F9" s="5">
        <v>1</v>
      </c>
    </row>
    <row r="10" spans="1:6">
      <c r="A10" s="5" t="s">
        <v>131</v>
      </c>
      <c r="B10" s="5" t="s">
        <v>126</v>
      </c>
      <c r="C10" s="5">
        <v>5</v>
      </c>
      <c r="D10" s="5">
        <v>1</v>
      </c>
      <c r="E10" s="5">
        <v>15</v>
      </c>
      <c r="F10" s="5">
        <v>1</v>
      </c>
    </row>
    <row r="11" spans="1:6">
      <c r="A11" s="5" t="s">
        <v>212</v>
      </c>
      <c r="B11" s="5" t="s">
        <v>126</v>
      </c>
      <c r="C11" s="5">
        <v>5</v>
      </c>
      <c r="D11" s="5">
        <v>1</v>
      </c>
      <c r="E11" s="5">
        <v>15</v>
      </c>
      <c r="F11" s="5">
        <v>1</v>
      </c>
    </row>
    <row r="12" spans="1:6">
      <c r="A12" s="5" t="s">
        <v>5</v>
      </c>
      <c r="B12" s="5" t="s">
        <v>127</v>
      </c>
      <c r="C12" s="5">
        <v>10</v>
      </c>
      <c r="D12" s="5">
        <v>2</v>
      </c>
      <c r="E12" s="5">
        <v>15</v>
      </c>
      <c r="F12" s="5">
        <v>5</v>
      </c>
    </row>
    <row r="13" spans="1:6">
      <c r="A13" s="5" t="s">
        <v>130</v>
      </c>
      <c r="B13" s="5" t="s">
        <v>127</v>
      </c>
      <c r="C13" s="5">
        <v>10</v>
      </c>
      <c r="D13" s="5">
        <v>1</v>
      </c>
      <c r="E13" s="5">
        <v>0</v>
      </c>
      <c r="F13" s="5">
        <v>1</v>
      </c>
    </row>
    <row r="14" spans="1:6">
      <c r="A14" s="5" t="s">
        <v>131</v>
      </c>
      <c r="B14" s="5" t="s">
        <v>127</v>
      </c>
      <c r="C14" s="5">
        <v>5</v>
      </c>
      <c r="D14" s="5">
        <v>1</v>
      </c>
      <c r="E14" s="5">
        <v>15</v>
      </c>
      <c r="F14" s="5">
        <v>1</v>
      </c>
    </row>
    <row r="15" spans="1:6">
      <c r="A15" s="5" t="s">
        <v>6</v>
      </c>
      <c r="B15" s="5" t="s">
        <v>128</v>
      </c>
      <c r="C15" s="5">
        <v>20</v>
      </c>
      <c r="D15" s="5">
        <v>10</v>
      </c>
      <c r="E15" s="5">
        <v>15</v>
      </c>
      <c r="F15" s="5">
        <v>2</v>
      </c>
    </row>
    <row r="16" spans="1:6">
      <c r="A16" s="5" t="s">
        <v>131</v>
      </c>
      <c r="B16" s="5" t="s">
        <v>128</v>
      </c>
      <c r="C16" s="5">
        <v>20</v>
      </c>
      <c r="D16" s="5">
        <v>1</v>
      </c>
      <c r="E16" s="5">
        <v>0</v>
      </c>
      <c r="F16" s="5">
        <v>1</v>
      </c>
    </row>
    <row r="17" spans="1:6">
      <c r="A17" s="5" t="s">
        <v>222</v>
      </c>
      <c r="B17" s="5" t="s">
        <v>126</v>
      </c>
      <c r="C17" s="5">
        <v>2</v>
      </c>
      <c r="D17" s="5">
        <v>1</v>
      </c>
      <c r="E17" s="5">
        <v>5</v>
      </c>
      <c r="F17" s="5">
        <v>1</v>
      </c>
    </row>
    <row r="18" spans="1:6">
      <c r="A18" s="5" t="s">
        <v>239</v>
      </c>
      <c r="B18" s="5" t="s">
        <v>129</v>
      </c>
      <c r="C18" s="5">
        <v>10</v>
      </c>
      <c r="D18" s="5">
        <v>5</v>
      </c>
      <c r="E18" s="5">
        <v>15</v>
      </c>
      <c r="F18" s="5">
        <v>5</v>
      </c>
    </row>
    <row r="19" spans="1:6">
      <c r="A19" s="5"/>
      <c r="B19" s="5"/>
      <c r="C19" s="5"/>
      <c r="D19" s="5"/>
      <c r="E19" s="5"/>
      <c r="F19" s="5"/>
    </row>
    <row r="20" spans="1:6">
      <c r="A20" s="5"/>
      <c r="B20" s="5"/>
      <c r="C20" s="5"/>
      <c r="D20" s="5"/>
      <c r="E20" s="5"/>
      <c r="F20" s="5"/>
    </row>
    <row r="21" spans="1:6">
      <c r="A21" s="5"/>
      <c r="B21" s="5"/>
      <c r="C21" s="5"/>
      <c r="D21" s="5"/>
      <c r="E21" s="5"/>
      <c r="F21" s="5"/>
    </row>
    <row r="22" spans="1:6">
      <c r="A22" s="5"/>
      <c r="B22" s="5"/>
      <c r="C22" s="5"/>
      <c r="D22" s="5"/>
      <c r="E22" s="5"/>
      <c r="F22" s="5"/>
    </row>
    <row r="23" spans="1:6">
      <c r="A23" s="5"/>
      <c r="B23" s="5"/>
      <c r="C23" s="5"/>
      <c r="D23" s="5"/>
      <c r="E23" s="5"/>
      <c r="F23" s="5"/>
    </row>
    <row r="24" spans="1:6">
      <c r="A24" s="5"/>
      <c r="B24" s="5"/>
      <c r="C24" s="5"/>
      <c r="D24" s="5"/>
      <c r="E24" s="5"/>
      <c r="F24" s="5"/>
    </row>
    <row r="25" spans="1:6">
      <c r="A25" s="5"/>
      <c r="B25" s="5"/>
      <c r="C25" s="5"/>
      <c r="D25" s="5"/>
      <c r="E25" s="5"/>
      <c r="F25" s="5"/>
    </row>
    <row r="26" spans="1:6">
      <c r="A26" s="5"/>
      <c r="B26" s="5"/>
      <c r="C26" s="5"/>
      <c r="D26" s="5"/>
      <c r="E26" s="5"/>
      <c r="F26" s="5"/>
    </row>
    <row r="27" spans="1:6">
      <c r="A27" s="5"/>
      <c r="B27" s="5"/>
      <c r="C27" s="5"/>
      <c r="D27" s="5"/>
      <c r="E27" s="5"/>
      <c r="F27" s="5"/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Q49" sqref="Q49"/>
    </sheetView>
  </sheetViews>
  <sheetFormatPr defaultColWidth="8.6640625" defaultRowHeight="13"/>
  <cols>
    <col min="1" max="1" bestFit="true" customWidth="true" style="4" width="16.33203125"/>
    <col min="2" max="2" bestFit="true" customWidth="true" style="4" width="15.08203125"/>
    <col min="3" max="3" bestFit="true" customWidth="true" style="4" width="8.83203125"/>
    <col min="4" max="4" bestFit="true" customWidth="true" style="4" width="47.6640625"/>
    <col min="5" max="16384" style="4" width="8.6640625"/>
  </cols>
  <sheetData>
    <row r="1" spans="1:4" s="19" customFormat="1">
      <c r="A1" s="25" t="s">
        <v>187</v>
      </c>
      <c r="B1" s="25" t="s">
        <v>219</v>
      </c>
      <c r="C1" s="25" t="s">
        <v>223</v>
      </c>
      <c r="D1" s="19" t="s">
        <v>220</v>
      </c>
    </row>
    <row r="2" spans="1:4">
      <c r="A2" s="5" t="s">
        <v>124</v>
      </c>
      <c r="B2" s="5">
        <v>50</v>
      </c>
      <c r="C2" s="5">
        <v>1</v>
      </c>
    </row>
    <row r="3" spans="1:4">
      <c r="A3" s="5" t="s">
        <v>125</v>
      </c>
      <c r="B3" s="5">
        <v>60</v>
      </c>
      <c r="C3" s="5">
        <v>2</v>
      </c>
    </row>
    <row r="4" spans="1:4">
      <c r="A4" s="5" t="s">
        <v>128</v>
      </c>
      <c r="B4" s="5">
        <v>50</v>
      </c>
      <c r="C4" s="5">
        <v>1</v>
      </c>
    </row>
    <row r="5" spans="1:4">
      <c r="A5" s="5" t="s">
        <v>127</v>
      </c>
      <c r="B5" s="5">
        <v>60</v>
      </c>
      <c r="C5" s="5">
        <v>1</v>
      </c>
    </row>
    <row r="6" spans="1:4">
      <c r="A6" s="5" t="s">
        <v>126</v>
      </c>
      <c r="B6" s="5">
        <v>30</v>
      </c>
      <c r="C6" s="5">
        <v>1</v>
      </c>
    </row>
    <row r="7" spans="1:4">
      <c r="A7" s="5" t="s">
        <v>129</v>
      </c>
      <c r="B7" s="5">
        <v>30</v>
      </c>
      <c r="C7" s="5">
        <v>1</v>
      </c>
    </row>
    <row r="8" spans="1:4">
      <c r="A8" s="5"/>
      <c r="B8" s="5"/>
      <c r="C8" s="5"/>
    </row>
    <row r="9" spans="1:4">
      <c r="A9" s="5"/>
      <c r="B9" s="5"/>
      <c r="C9" s="5"/>
    </row>
    <row r="10" spans="1:4">
      <c r="A10" s="5"/>
      <c r="B10" s="5"/>
      <c r="C10" s="5"/>
    </row>
    <row r="11" spans="1:4">
      <c r="A11" s="5"/>
      <c r="B11" s="5"/>
      <c r="C11" s="5"/>
    </row>
    <row r="12" spans="1:4">
      <c r="A12" s="5"/>
      <c r="B12" s="5"/>
      <c r="C12" s="5"/>
    </row>
    <row r="13" spans="1:4">
      <c r="A13" s="5"/>
      <c r="B13" s="5"/>
      <c r="C13" s="5"/>
    </row>
    <row r="14" spans="1:4">
      <c r="A14" s="5"/>
      <c r="B14" s="5"/>
      <c r="C14" s="5"/>
    </row>
    <row r="15" spans="1:4">
      <c r="A15" s="5"/>
      <c r="B15" s="5"/>
      <c r="C15" s="5"/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bestFit="true" customWidth="true" width="11.1640625"/>
    <col min="2" max="2" bestFit="true" customWidth="true" width="8.33203125"/>
    <col min="3" max="3" bestFit="true" customWidth="true" width="16.33203125"/>
    <col min="4" max="4" bestFit="true" customWidth="true" width="25.0"/>
    <col min="5" max="5" bestFit="true" customWidth="true" width="8.83203125"/>
    <col min="6" max="6" bestFit="true" customWidth="true" width="12.58203125"/>
    <col min="7" max="9" bestFit="true" customWidth="true" width="11.9140625"/>
    <col min="10" max="10" bestFit="true" customWidth="true" width="5.1640625"/>
  </cols>
  <sheetData>
    <row r="1" spans="1:10">
      <c r="A1" s="34" t="s">
        <v>214</v>
      </c>
      <c r="B1" s="34" t="s">
        <v>186</v>
      </c>
      <c r="C1" s="34" t="s">
        <v>187</v>
      </c>
      <c r="D1" s="34" t="s">
        <v>188</v>
      </c>
      <c r="E1" s="34" t="s">
        <v>189</v>
      </c>
      <c r="F1" s="34" t="s">
        <v>190</v>
      </c>
      <c r="G1" s="34" t="s">
        <v>191</v>
      </c>
      <c r="H1" s="34" t="s">
        <v>192</v>
      </c>
      <c r="I1" s="34" t="s">
        <v>193</v>
      </c>
      <c r="J1" s="34" t="s">
        <v>1</v>
      </c>
    </row>
    <row r="2" spans="1:10">
      <c r="A2" s="35">
        <v>1</v>
      </c>
      <c r="B2" s="35" t="s">
        <v>194</v>
      </c>
      <c r="C2" s="35" t="s">
        <v>124</v>
      </c>
      <c r="D2" s="35" t="s">
        <v>195</v>
      </c>
      <c r="E2" s="35">
        <v>2</v>
      </c>
      <c r="F2" s="35">
        <v>1</v>
      </c>
      <c r="G2" s="35" t="s">
        <v>109</v>
      </c>
      <c r="H2" s="35" t="s">
        <v>112</v>
      </c>
      <c r="I2" s="35"/>
      <c r="J2" s="35"/>
    </row>
    <row r="3" spans="1:10">
      <c r="A3" s="35">
        <v>2</v>
      </c>
      <c r="B3" s="35" t="s">
        <v>194</v>
      </c>
      <c r="C3" s="35" t="s">
        <v>124</v>
      </c>
      <c r="D3" s="35" t="s">
        <v>195</v>
      </c>
      <c r="E3" s="35">
        <v>2</v>
      </c>
      <c r="F3" s="35">
        <v>2</v>
      </c>
      <c r="G3" s="35" t="s">
        <v>110</v>
      </c>
      <c r="H3" s="35" t="s">
        <v>109</v>
      </c>
      <c r="I3" s="35"/>
      <c r="J3" s="35"/>
    </row>
    <row r="4" spans="1:10">
      <c r="A4" s="35">
        <v>3</v>
      </c>
      <c r="B4" s="35" t="s">
        <v>194</v>
      </c>
      <c r="C4" s="35" t="s">
        <v>124</v>
      </c>
      <c r="D4" s="35" t="s">
        <v>195</v>
      </c>
      <c r="E4" s="35">
        <v>2</v>
      </c>
      <c r="F4" s="35">
        <v>3</v>
      </c>
      <c r="G4" s="35" t="s">
        <v>110</v>
      </c>
      <c r="H4" s="35" t="s">
        <v>112</v>
      </c>
      <c r="I4" s="35"/>
      <c r="J4" s="35"/>
    </row>
    <row r="5" spans="1:10">
      <c r="A5" s="35">
        <v>4</v>
      </c>
      <c r="B5" s="35" t="s">
        <v>194</v>
      </c>
      <c r="C5" s="35" t="s">
        <v>124</v>
      </c>
      <c r="D5" s="35" t="s">
        <v>195</v>
      </c>
      <c r="E5" s="35">
        <v>2</v>
      </c>
      <c r="F5" s="35">
        <v>4</v>
      </c>
      <c r="G5" s="35" t="s">
        <v>109</v>
      </c>
      <c r="H5" s="35" t="s">
        <v>210</v>
      </c>
      <c r="I5" s="35"/>
      <c r="J5" s="35"/>
    </row>
    <row r="6" spans="1:10">
      <c r="A6" s="35">
        <v>5</v>
      </c>
      <c r="B6" s="35" t="s">
        <v>194</v>
      </c>
      <c r="C6" s="35" t="s">
        <v>124</v>
      </c>
      <c r="D6" s="35" t="s">
        <v>195</v>
      </c>
      <c r="E6" s="35">
        <v>2</v>
      </c>
      <c r="F6" s="35">
        <v>5</v>
      </c>
      <c r="G6" s="35" t="s">
        <v>210</v>
      </c>
      <c r="H6" s="35" t="s">
        <v>112</v>
      </c>
      <c r="I6" s="35"/>
      <c r="J6" s="35"/>
    </row>
    <row r="7" spans="1:10">
      <c r="A7" s="36">
        <v>6</v>
      </c>
      <c r="B7" s="36" t="s">
        <v>131</v>
      </c>
      <c r="C7" s="36" t="s">
        <v>124</v>
      </c>
      <c r="D7" s="36" t="s">
        <v>196</v>
      </c>
      <c r="E7" s="36">
        <v>1</v>
      </c>
      <c r="F7" s="36">
        <v>1</v>
      </c>
      <c r="G7" s="36" t="s">
        <v>109</v>
      </c>
      <c r="H7" s="36"/>
      <c r="I7" s="36"/>
      <c r="J7" s="36"/>
    </row>
    <row r="8" spans="1:10">
      <c r="A8" s="36">
        <v>7</v>
      </c>
      <c r="B8" s="36" t="s">
        <v>131</v>
      </c>
      <c r="C8" s="36" t="s">
        <v>124</v>
      </c>
      <c r="D8" s="36" t="s">
        <v>196</v>
      </c>
      <c r="E8" s="36">
        <v>1</v>
      </c>
      <c r="F8" s="36">
        <v>2</v>
      </c>
      <c r="G8" s="36" t="s">
        <v>112</v>
      </c>
      <c r="H8" s="36"/>
      <c r="I8" s="36"/>
      <c r="J8" s="36"/>
    </row>
    <row r="9" spans="1:10">
      <c r="A9" s="35">
        <v>8</v>
      </c>
      <c r="B9" s="35" t="s">
        <v>194</v>
      </c>
      <c r="C9" s="35" t="s">
        <v>125</v>
      </c>
      <c r="D9" s="35" t="s">
        <v>199</v>
      </c>
      <c r="E9" s="35">
        <v>3</v>
      </c>
      <c r="F9" s="35">
        <v>1</v>
      </c>
      <c r="G9" s="35" t="s">
        <v>110</v>
      </c>
      <c r="H9" s="35" t="s">
        <v>111</v>
      </c>
      <c r="I9" s="35" t="s">
        <v>112</v>
      </c>
      <c r="J9" s="35"/>
    </row>
    <row r="10" spans="1:10">
      <c r="A10" s="35">
        <v>9</v>
      </c>
      <c r="B10" s="35" t="s">
        <v>194</v>
      </c>
      <c r="C10" s="35" t="s">
        <v>125</v>
      </c>
      <c r="D10" s="35" t="s">
        <v>199</v>
      </c>
      <c r="E10" s="35">
        <v>3</v>
      </c>
      <c r="F10" s="35">
        <v>2</v>
      </c>
      <c r="G10" s="35" t="s">
        <v>110</v>
      </c>
      <c r="H10" s="35" t="s">
        <v>108</v>
      </c>
      <c r="I10" s="35" t="s">
        <v>112</v>
      </c>
      <c r="J10" s="35"/>
    </row>
    <row r="11" spans="1:10">
      <c r="A11" s="35">
        <v>10</v>
      </c>
      <c r="B11" s="35" t="s">
        <v>194</v>
      </c>
      <c r="C11" s="35" t="s">
        <v>125</v>
      </c>
      <c r="D11" s="35" t="s">
        <v>199</v>
      </c>
      <c r="E11" s="35">
        <v>3</v>
      </c>
      <c r="F11" s="35">
        <v>3</v>
      </c>
      <c r="G11" s="35" t="s">
        <v>108</v>
      </c>
      <c r="H11" s="35" t="s">
        <v>111</v>
      </c>
      <c r="I11" s="35" t="s">
        <v>112</v>
      </c>
      <c r="J11" s="35"/>
    </row>
    <row r="12" spans="1:10">
      <c r="A12" s="35">
        <v>11</v>
      </c>
      <c r="B12" s="35" t="s">
        <v>194</v>
      </c>
      <c r="C12" s="35" t="s">
        <v>125</v>
      </c>
      <c r="D12" s="35" t="s">
        <v>199</v>
      </c>
      <c r="E12" s="35">
        <v>3</v>
      </c>
      <c r="F12" s="35">
        <v>4</v>
      </c>
      <c r="G12" s="35" t="s">
        <v>110</v>
      </c>
      <c r="H12" s="35" t="s">
        <v>109</v>
      </c>
      <c r="I12" s="35" t="s">
        <v>112</v>
      </c>
      <c r="J12" s="35"/>
    </row>
    <row r="13" spans="1:10">
      <c r="A13" s="35">
        <v>12</v>
      </c>
      <c r="B13" s="35" t="s">
        <v>194</v>
      </c>
      <c r="C13" s="35" t="s">
        <v>125</v>
      </c>
      <c r="D13" s="35" t="s">
        <v>199</v>
      </c>
      <c r="E13" s="35">
        <v>3</v>
      </c>
      <c r="F13" s="35">
        <v>5</v>
      </c>
      <c r="G13" s="35" t="s">
        <v>110</v>
      </c>
      <c r="H13" s="35" t="s">
        <v>111</v>
      </c>
      <c r="I13" s="35" t="s">
        <v>113</v>
      </c>
      <c r="J13" s="35"/>
    </row>
    <row r="14" spans="1:10">
      <c r="A14" s="35">
        <v>13</v>
      </c>
      <c r="B14" s="35" t="s">
        <v>194</v>
      </c>
      <c r="C14" s="35" t="s">
        <v>125</v>
      </c>
      <c r="D14" s="35" t="s">
        <v>199</v>
      </c>
      <c r="E14" s="35">
        <v>3</v>
      </c>
      <c r="F14" s="35">
        <v>6</v>
      </c>
      <c r="G14" s="35" t="s">
        <v>110</v>
      </c>
      <c r="H14" s="35" t="s">
        <v>108</v>
      </c>
      <c r="I14" s="35" t="s">
        <v>111</v>
      </c>
      <c r="J14" s="35"/>
    </row>
    <row r="15" spans="1:10">
      <c r="A15" s="35">
        <v>14</v>
      </c>
      <c r="B15" s="35" t="s">
        <v>194</v>
      </c>
      <c r="C15" s="35" t="s">
        <v>125</v>
      </c>
      <c r="D15" s="35" t="s">
        <v>199</v>
      </c>
      <c r="E15" s="35">
        <v>3</v>
      </c>
      <c r="F15" s="35">
        <v>7</v>
      </c>
      <c r="G15" s="35" t="s">
        <v>108</v>
      </c>
      <c r="H15" s="35" t="s">
        <v>111</v>
      </c>
      <c r="I15" s="35" t="s">
        <v>113</v>
      </c>
      <c r="J15" s="35"/>
    </row>
    <row r="16" spans="1:10">
      <c r="A16" s="35">
        <v>15</v>
      </c>
      <c r="B16" s="35" t="s">
        <v>194</v>
      </c>
      <c r="C16" s="35" t="s">
        <v>125</v>
      </c>
      <c r="D16" s="35" t="s">
        <v>199</v>
      </c>
      <c r="E16" s="35">
        <v>3</v>
      </c>
      <c r="F16" s="35">
        <v>8</v>
      </c>
      <c r="G16" s="35" t="s">
        <v>108</v>
      </c>
      <c r="H16" s="35" t="s">
        <v>109</v>
      </c>
      <c r="I16" s="35" t="s">
        <v>111</v>
      </c>
      <c r="J16" s="35"/>
    </row>
    <row r="17" spans="1:10">
      <c r="A17" s="35">
        <v>16</v>
      </c>
      <c r="B17" s="35" t="s">
        <v>194</v>
      </c>
      <c r="C17" s="35" t="s">
        <v>125</v>
      </c>
      <c r="D17" s="35" t="s">
        <v>199</v>
      </c>
      <c r="E17" s="35">
        <v>3</v>
      </c>
      <c r="F17" s="35">
        <v>9</v>
      </c>
      <c r="G17" s="35" t="s">
        <v>110</v>
      </c>
      <c r="H17" s="35" t="s">
        <v>108</v>
      </c>
      <c r="I17" s="35" t="s">
        <v>113</v>
      </c>
      <c r="J17" s="35"/>
    </row>
    <row r="18" spans="1:10">
      <c r="A18" s="35">
        <v>17</v>
      </c>
      <c r="B18" s="35" t="s">
        <v>194</v>
      </c>
      <c r="C18" s="35" t="s">
        <v>125</v>
      </c>
      <c r="D18" s="35" t="s">
        <v>199</v>
      </c>
      <c r="E18" s="35">
        <v>3</v>
      </c>
      <c r="F18" s="35">
        <v>10</v>
      </c>
      <c r="G18" s="35" t="s">
        <v>110</v>
      </c>
      <c r="H18" s="35" t="s">
        <v>112</v>
      </c>
      <c r="I18" s="35" t="s">
        <v>113</v>
      </c>
      <c r="J18" s="35"/>
    </row>
    <row r="19" spans="1:10">
      <c r="A19" s="35">
        <v>18</v>
      </c>
      <c r="B19" s="35" t="s">
        <v>194</v>
      </c>
      <c r="C19" s="35" t="s">
        <v>125</v>
      </c>
      <c r="D19" s="35" t="s">
        <v>199</v>
      </c>
      <c r="E19" s="35">
        <v>3</v>
      </c>
      <c r="F19" s="35">
        <v>11</v>
      </c>
      <c r="G19" s="35" t="s">
        <v>108</v>
      </c>
      <c r="H19" s="35" t="s">
        <v>112</v>
      </c>
      <c r="I19" s="35" t="s">
        <v>113</v>
      </c>
      <c r="J19" s="35"/>
    </row>
    <row r="20" spans="1:10">
      <c r="A20" s="35">
        <v>19</v>
      </c>
      <c r="B20" s="35" t="s">
        <v>194</v>
      </c>
      <c r="C20" s="35" t="s">
        <v>125</v>
      </c>
      <c r="D20" s="35" t="s">
        <v>199</v>
      </c>
      <c r="E20" s="35">
        <v>3</v>
      </c>
      <c r="F20" s="35">
        <v>12</v>
      </c>
      <c r="G20" s="35" t="s">
        <v>110</v>
      </c>
      <c r="H20" s="35" t="s">
        <v>108</v>
      </c>
      <c r="I20" s="35" t="s">
        <v>109</v>
      </c>
      <c r="J20" s="35"/>
    </row>
    <row r="21" spans="1:10">
      <c r="A21" s="35">
        <v>20</v>
      </c>
      <c r="B21" s="35" t="s">
        <v>194</v>
      </c>
      <c r="C21" s="35" t="s">
        <v>125</v>
      </c>
      <c r="D21" s="35" t="s">
        <v>199</v>
      </c>
      <c r="E21" s="35">
        <v>3</v>
      </c>
      <c r="F21" s="35">
        <v>13</v>
      </c>
      <c r="G21" s="35" t="s">
        <v>110</v>
      </c>
      <c r="H21" s="35" t="s">
        <v>109</v>
      </c>
      <c r="I21" s="35" t="s">
        <v>111</v>
      </c>
      <c r="J21" s="35"/>
    </row>
    <row r="22" spans="1:10">
      <c r="A22" s="35">
        <v>21</v>
      </c>
      <c r="B22" s="35" t="s">
        <v>194</v>
      </c>
      <c r="C22" s="35" t="s">
        <v>125</v>
      </c>
      <c r="D22" s="35" t="s">
        <v>199</v>
      </c>
      <c r="E22" s="35">
        <v>3</v>
      </c>
      <c r="F22" s="35">
        <v>14</v>
      </c>
      <c r="G22" s="35" t="s">
        <v>110</v>
      </c>
      <c r="H22" s="35" t="s">
        <v>109</v>
      </c>
      <c r="I22" s="35" t="s">
        <v>113</v>
      </c>
      <c r="J22" s="35"/>
    </row>
    <row r="23" spans="1:10">
      <c r="A23" s="35">
        <v>22</v>
      </c>
      <c r="B23" s="35" t="s">
        <v>194</v>
      </c>
      <c r="C23" s="35" t="s">
        <v>125</v>
      </c>
      <c r="D23" s="35" t="s">
        <v>199</v>
      </c>
      <c r="E23" s="35">
        <v>3</v>
      </c>
      <c r="F23" s="35">
        <v>15</v>
      </c>
      <c r="G23" s="35" t="s">
        <v>108</v>
      </c>
      <c r="H23" s="35" t="s">
        <v>109</v>
      </c>
      <c r="I23" s="35" t="s">
        <v>112</v>
      </c>
      <c r="J23" s="35"/>
    </row>
    <row r="24" spans="1:10">
      <c r="A24" s="35">
        <v>23</v>
      </c>
      <c r="B24" s="35" t="s">
        <v>194</v>
      </c>
      <c r="C24" s="35" t="s">
        <v>125</v>
      </c>
      <c r="D24" s="35" t="s">
        <v>199</v>
      </c>
      <c r="E24" s="35">
        <v>3</v>
      </c>
      <c r="F24" s="35">
        <v>16</v>
      </c>
      <c r="G24" s="35" t="s">
        <v>111</v>
      </c>
      <c r="H24" s="35" t="s">
        <v>112</v>
      </c>
      <c r="I24" s="35" t="s">
        <v>113</v>
      </c>
      <c r="J24" s="35"/>
    </row>
    <row r="25" spans="1:10">
      <c r="A25" s="35">
        <v>24</v>
      </c>
      <c r="B25" s="35" t="s">
        <v>194</v>
      </c>
      <c r="C25" s="35" t="s">
        <v>125</v>
      </c>
      <c r="D25" s="35" t="s">
        <v>199</v>
      </c>
      <c r="E25" s="35">
        <v>3</v>
      </c>
      <c r="F25" s="35">
        <v>17</v>
      </c>
      <c r="G25" s="35" t="s">
        <v>108</v>
      </c>
      <c r="H25" s="35" t="s">
        <v>109</v>
      </c>
      <c r="I25" s="35" t="s">
        <v>113</v>
      </c>
      <c r="J25" s="35"/>
    </row>
    <row r="26" spans="1:10">
      <c r="A26" s="35">
        <v>25</v>
      </c>
      <c r="B26" s="35" t="s">
        <v>194</v>
      </c>
      <c r="C26" s="35" t="s">
        <v>125</v>
      </c>
      <c r="D26" s="35" t="s">
        <v>199</v>
      </c>
      <c r="E26" s="35">
        <v>3</v>
      </c>
      <c r="F26" s="35">
        <v>18</v>
      </c>
      <c r="G26" s="35" t="s">
        <v>109</v>
      </c>
      <c r="H26" s="35" t="s">
        <v>111</v>
      </c>
      <c r="I26" s="35" t="s">
        <v>112</v>
      </c>
      <c r="J26" s="35"/>
    </row>
    <row r="27" spans="1:10">
      <c r="A27" s="35">
        <v>26</v>
      </c>
      <c r="B27" s="35" t="s">
        <v>194</v>
      </c>
      <c r="C27" s="35" t="s">
        <v>125</v>
      </c>
      <c r="D27" s="35" t="s">
        <v>199</v>
      </c>
      <c r="E27" s="35">
        <v>3</v>
      </c>
      <c r="F27" s="35">
        <v>19</v>
      </c>
      <c r="G27" s="35" t="s">
        <v>109</v>
      </c>
      <c r="H27" s="35" t="s">
        <v>111</v>
      </c>
      <c r="I27" s="35" t="s">
        <v>113</v>
      </c>
      <c r="J27" s="35"/>
    </row>
    <row r="28" spans="1:10">
      <c r="A28" s="35">
        <v>27</v>
      </c>
      <c r="B28" s="35" t="s">
        <v>194</v>
      </c>
      <c r="C28" s="35" t="s">
        <v>125</v>
      </c>
      <c r="D28" s="35" t="s">
        <v>199</v>
      </c>
      <c r="E28" s="35">
        <v>3</v>
      </c>
      <c r="F28" s="35">
        <v>20</v>
      </c>
      <c r="G28" s="35" t="s">
        <v>109</v>
      </c>
      <c r="H28" s="35" t="s">
        <v>112</v>
      </c>
      <c r="I28" s="35" t="s">
        <v>113</v>
      </c>
      <c r="J28" s="35"/>
    </row>
    <row r="29" spans="1:10">
      <c r="A29" s="36">
        <v>28</v>
      </c>
      <c r="B29" s="36" t="s">
        <v>200</v>
      </c>
      <c r="C29" s="36" t="s">
        <v>125</v>
      </c>
      <c r="D29" s="36" t="s">
        <v>201</v>
      </c>
      <c r="E29" s="36">
        <v>3</v>
      </c>
      <c r="F29" s="36">
        <v>1</v>
      </c>
      <c r="G29" s="36" t="s">
        <v>110</v>
      </c>
      <c r="H29" s="36" t="s">
        <v>112</v>
      </c>
      <c r="I29" s="36" t="s">
        <v>113</v>
      </c>
      <c r="J29" s="36"/>
    </row>
    <row r="30" spans="1:10">
      <c r="A30" s="36">
        <v>29</v>
      </c>
      <c r="B30" s="36" t="s">
        <v>200</v>
      </c>
      <c r="C30" s="36" t="s">
        <v>125</v>
      </c>
      <c r="D30" s="36" t="s">
        <v>201</v>
      </c>
      <c r="E30" s="36">
        <v>3</v>
      </c>
      <c r="F30" s="36">
        <v>2</v>
      </c>
      <c r="G30" s="36" t="s">
        <v>110</v>
      </c>
      <c r="H30" s="36" t="s">
        <v>109</v>
      </c>
      <c r="I30" s="36" t="s">
        <v>113</v>
      </c>
      <c r="J30" s="36"/>
    </row>
    <row r="31" spans="1:10">
      <c r="A31" s="36">
        <v>30</v>
      </c>
      <c r="B31" s="36" t="s">
        <v>200</v>
      </c>
      <c r="C31" s="36" t="s">
        <v>125</v>
      </c>
      <c r="D31" s="36" t="s">
        <v>201</v>
      </c>
      <c r="E31" s="36">
        <v>3</v>
      </c>
      <c r="F31" s="36">
        <v>3</v>
      </c>
      <c r="G31" s="36" t="s">
        <v>110</v>
      </c>
      <c r="H31" s="36" t="s">
        <v>109</v>
      </c>
      <c r="I31" s="36" t="s">
        <v>112</v>
      </c>
      <c r="J31" s="36"/>
    </row>
    <row r="32" spans="1:10">
      <c r="A32" s="36">
        <v>31</v>
      </c>
      <c r="B32" s="36" t="s">
        <v>200</v>
      </c>
      <c r="C32" s="36" t="s">
        <v>125</v>
      </c>
      <c r="D32" s="36" t="s">
        <v>201</v>
      </c>
      <c r="E32" s="36">
        <v>3</v>
      </c>
      <c r="F32" s="36">
        <v>4</v>
      </c>
      <c r="G32" s="36" t="s">
        <v>110</v>
      </c>
      <c r="H32" s="36" t="s">
        <v>111</v>
      </c>
      <c r="I32" s="36" t="s">
        <v>113</v>
      </c>
      <c r="J32" s="36"/>
    </row>
    <row r="33" spans="1:10">
      <c r="A33" s="36">
        <v>32</v>
      </c>
      <c r="B33" s="36" t="s">
        <v>200</v>
      </c>
      <c r="C33" s="36" t="s">
        <v>125</v>
      </c>
      <c r="D33" s="36" t="s">
        <v>201</v>
      </c>
      <c r="E33" s="36">
        <v>3</v>
      </c>
      <c r="F33" s="36">
        <v>5</v>
      </c>
      <c r="G33" s="36" t="s">
        <v>110</v>
      </c>
      <c r="H33" s="36" t="s">
        <v>111</v>
      </c>
      <c r="I33" s="36" t="s">
        <v>112</v>
      </c>
      <c r="J33" s="36"/>
    </row>
    <row r="34" spans="1:10">
      <c r="A34" s="36">
        <v>33</v>
      </c>
      <c r="B34" s="36" t="s">
        <v>200</v>
      </c>
      <c r="C34" s="36" t="s">
        <v>125</v>
      </c>
      <c r="D34" s="36" t="s">
        <v>201</v>
      </c>
      <c r="E34" s="36">
        <v>3</v>
      </c>
      <c r="F34" s="36">
        <v>6</v>
      </c>
      <c r="G34" s="36" t="s">
        <v>108</v>
      </c>
      <c r="H34" s="36" t="s">
        <v>112</v>
      </c>
      <c r="I34" s="36" t="s">
        <v>113</v>
      </c>
      <c r="J34" s="36"/>
    </row>
    <row r="35" spans="1:10">
      <c r="A35" s="36">
        <v>34</v>
      </c>
      <c r="B35" s="36" t="s">
        <v>200</v>
      </c>
      <c r="C35" s="36" t="s">
        <v>125</v>
      </c>
      <c r="D35" s="36" t="s">
        <v>201</v>
      </c>
      <c r="E35" s="36">
        <v>3</v>
      </c>
      <c r="F35" s="36">
        <v>7</v>
      </c>
      <c r="G35" s="36" t="s">
        <v>110</v>
      </c>
      <c r="H35" s="36" t="s">
        <v>109</v>
      </c>
      <c r="I35" s="36" t="s">
        <v>111</v>
      </c>
      <c r="J35" s="36"/>
    </row>
    <row r="36" spans="1:10">
      <c r="A36" s="36">
        <v>35</v>
      </c>
      <c r="B36" s="36" t="s">
        <v>200</v>
      </c>
      <c r="C36" s="36" t="s">
        <v>125</v>
      </c>
      <c r="D36" s="36" t="s">
        <v>201</v>
      </c>
      <c r="E36" s="36">
        <v>3</v>
      </c>
      <c r="F36" s="36">
        <v>8</v>
      </c>
      <c r="G36" s="36" t="s">
        <v>109</v>
      </c>
      <c r="H36" s="36" t="s">
        <v>111</v>
      </c>
      <c r="I36" s="36" t="s">
        <v>113</v>
      </c>
      <c r="J36" s="36"/>
    </row>
    <row r="37" spans="1:10">
      <c r="A37" s="36">
        <v>36</v>
      </c>
      <c r="B37" s="36" t="s">
        <v>200</v>
      </c>
      <c r="C37" s="36" t="s">
        <v>125</v>
      </c>
      <c r="D37" s="36" t="s">
        <v>201</v>
      </c>
      <c r="E37" s="36">
        <v>3</v>
      </c>
      <c r="F37" s="36">
        <v>9</v>
      </c>
      <c r="G37" s="36" t="s">
        <v>109</v>
      </c>
      <c r="H37" s="36" t="s">
        <v>111</v>
      </c>
      <c r="I37" s="36" t="s">
        <v>112</v>
      </c>
      <c r="J37" s="36"/>
    </row>
    <row r="38" spans="1:10">
      <c r="A38" s="36">
        <v>37</v>
      </c>
      <c r="B38" s="36" t="s">
        <v>200</v>
      </c>
      <c r="C38" s="36" t="s">
        <v>125</v>
      </c>
      <c r="D38" s="36" t="s">
        <v>201</v>
      </c>
      <c r="E38" s="36">
        <v>3</v>
      </c>
      <c r="F38" s="36">
        <v>10</v>
      </c>
      <c r="G38" s="36" t="s">
        <v>109</v>
      </c>
      <c r="H38" s="36" t="s">
        <v>112</v>
      </c>
      <c r="I38" s="36" t="s">
        <v>113</v>
      </c>
      <c r="J38" s="36"/>
    </row>
    <row r="39" spans="1:10">
      <c r="A39" s="36">
        <v>38</v>
      </c>
      <c r="B39" s="36" t="s">
        <v>200</v>
      </c>
      <c r="C39" s="36" t="s">
        <v>125</v>
      </c>
      <c r="D39" s="36" t="s">
        <v>201</v>
      </c>
      <c r="E39" s="36">
        <v>3</v>
      </c>
      <c r="F39" s="36">
        <v>11</v>
      </c>
      <c r="G39" s="36" t="s">
        <v>111</v>
      </c>
      <c r="H39" s="36" t="s">
        <v>112</v>
      </c>
      <c r="I39" s="36" t="s">
        <v>113</v>
      </c>
      <c r="J39" s="36"/>
    </row>
    <row r="40" spans="1:10">
      <c r="A40" s="36">
        <v>39</v>
      </c>
      <c r="B40" s="36" t="s">
        <v>200</v>
      </c>
      <c r="C40" s="36" t="s">
        <v>125</v>
      </c>
      <c r="D40" s="36" t="s">
        <v>201</v>
      </c>
      <c r="E40" s="36">
        <v>3</v>
      </c>
      <c r="F40" s="36">
        <v>12</v>
      </c>
      <c r="G40" s="36" t="s">
        <v>110</v>
      </c>
      <c r="H40" s="36" t="s">
        <v>108</v>
      </c>
      <c r="I40" s="36" t="s">
        <v>113</v>
      </c>
      <c r="J40" s="36"/>
    </row>
    <row r="41" spans="1:10">
      <c r="A41" s="36">
        <v>40</v>
      </c>
      <c r="B41" s="36" t="s">
        <v>200</v>
      </c>
      <c r="C41" s="36" t="s">
        <v>125</v>
      </c>
      <c r="D41" s="36" t="s">
        <v>201</v>
      </c>
      <c r="E41" s="36">
        <v>3</v>
      </c>
      <c r="F41" s="36">
        <v>13</v>
      </c>
      <c r="G41" s="36" t="s">
        <v>110</v>
      </c>
      <c r="H41" s="36" t="s">
        <v>108</v>
      </c>
      <c r="I41" s="36" t="s">
        <v>112</v>
      </c>
      <c r="J41" s="36"/>
    </row>
    <row r="42" spans="1:10">
      <c r="A42" s="36">
        <v>41</v>
      </c>
      <c r="B42" s="36" t="s">
        <v>200</v>
      </c>
      <c r="C42" s="36" t="s">
        <v>125</v>
      </c>
      <c r="D42" s="36" t="s">
        <v>201</v>
      </c>
      <c r="E42" s="36">
        <v>3</v>
      </c>
      <c r="F42" s="36">
        <v>14</v>
      </c>
      <c r="G42" s="36" t="s">
        <v>110</v>
      </c>
      <c r="H42" s="36" t="s">
        <v>108</v>
      </c>
      <c r="I42" s="36" t="s">
        <v>109</v>
      </c>
      <c r="J42" s="36"/>
    </row>
    <row r="43" spans="1:10">
      <c r="A43" s="36">
        <v>42</v>
      </c>
      <c r="B43" s="36" t="s">
        <v>200</v>
      </c>
      <c r="C43" s="36" t="s">
        <v>125</v>
      </c>
      <c r="D43" s="36" t="s">
        <v>201</v>
      </c>
      <c r="E43" s="36">
        <v>3</v>
      </c>
      <c r="F43" s="36">
        <v>15</v>
      </c>
      <c r="G43" s="36" t="s">
        <v>110</v>
      </c>
      <c r="H43" s="36" t="s">
        <v>108</v>
      </c>
      <c r="I43" s="36" t="s">
        <v>111</v>
      </c>
      <c r="J43" s="36"/>
    </row>
    <row r="44" spans="1:10">
      <c r="A44" s="36">
        <v>43</v>
      </c>
      <c r="B44" s="36" t="s">
        <v>200</v>
      </c>
      <c r="C44" s="36" t="s">
        <v>125</v>
      </c>
      <c r="D44" s="36" t="s">
        <v>201</v>
      </c>
      <c r="E44" s="36">
        <v>3</v>
      </c>
      <c r="F44" s="36">
        <v>16</v>
      </c>
      <c r="G44" s="36" t="s">
        <v>108</v>
      </c>
      <c r="H44" s="36" t="s">
        <v>109</v>
      </c>
      <c r="I44" s="36" t="s">
        <v>113</v>
      </c>
      <c r="J44" s="36"/>
    </row>
    <row r="45" spans="1:10">
      <c r="A45" s="36">
        <v>44</v>
      </c>
      <c r="B45" s="36" t="s">
        <v>200</v>
      </c>
      <c r="C45" s="36" t="s">
        <v>125</v>
      </c>
      <c r="D45" s="36" t="s">
        <v>201</v>
      </c>
      <c r="E45" s="36">
        <v>3</v>
      </c>
      <c r="F45" s="36">
        <v>17</v>
      </c>
      <c r="G45" s="36" t="s">
        <v>108</v>
      </c>
      <c r="H45" s="36" t="s">
        <v>111</v>
      </c>
      <c r="I45" s="36" t="s">
        <v>113</v>
      </c>
      <c r="J45" s="36"/>
    </row>
    <row r="46" spans="1:10">
      <c r="A46" s="36">
        <v>45</v>
      </c>
      <c r="B46" s="36" t="s">
        <v>200</v>
      </c>
      <c r="C46" s="36" t="s">
        <v>125</v>
      </c>
      <c r="D46" s="36" t="s">
        <v>201</v>
      </c>
      <c r="E46" s="36">
        <v>3</v>
      </c>
      <c r="F46" s="36">
        <v>18</v>
      </c>
      <c r="G46" s="36" t="s">
        <v>108</v>
      </c>
      <c r="H46" s="36" t="s">
        <v>109</v>
      </c>
      <c r="I46" s="36" t="s">
        <v>112</v>
      </c>
      <c r="J46" s="36"/>
    </row>
    <row r="47" spans="1:10">
      <c r="A47" s="36">
        <v>46</v>
      </c>
      <c r="B47" s="36" t="s">
        <v>200</v>
      </c>
      <c r="C47" s="36" t="s">
        <v>125</v>
      </c>
      <c r="D47" s="36" t="s">
        <v>201</v>
      </c>
      <c r="E47" s="36">
        <v>3</v>
      </c>
      <c r="F47" s="36">
        <v>19</v>
      </c>
      <c r="G47" s="36" t="s">
        <v>108</v>
      </c>
      <c r="H47" s="36" t="s">
        <v>111</v>
      </c>
      <c r="I47" s="36" t="s">
        <v>112</v>
      </c>
      <c r="J47" s="36"/>
    </row>
    <row r="48" spans="1:10">
      <c r="A48" s="36">
        <v>47</v>
      </c>
      <c r="B48" s="36" t="s">
        <v>200</v>
      </c>
      <c r="C48" s="36" t="s">
        <v>125</v>
      </c>
      <c r="D48" s="36" t="s">
        <v>201</v>
      </c>
      <c r="E48" s="36">
        <v>3</v>
      </c>
      <c r="F48" s="36">
        <v>20</v>
      </c>
      <c r="G48" s="36" t="s">
        <v>108</v>
      </c>
      <c r="H48" s="36" t="s">
        <v>109</v>
      </c>
      <c r="I48" s="36" t="s">
        <v>111</v>
      </c>
      <c r="J48" s="36"/>
    </row>
    <row r="49" spans="1:10">
      <c r="A49" s="35">
        <v>48</v>
      </c>
      <c r="B49" s="35" t="s">
        <v>6</v>
      </c>
      <c r="C49" s="35" t="s">
        <v>128</v>
      </c>
      <c r="D49" s="35" t="s">
        <v>208</v>
      </c>
      <c r="E49" s="35">
        <v>2</v>
      </c>
      <c r="F49" s="35">
        <v>1</v>
      </c>
      <c r="G49" s="35" t="s">
        <v>110</v>
      </c>
      <c r="H49" s="35" t="s">
        <v>113</v>
      </c>
      <c r="I49" s="35"/>
      <c r="J49" s="35"/>
    </row>
    <row r="50" spans="1:10">
      <c r="A50" s="35">
        <v>49</v>
      </c>
      <c r="B50" s="35" t="s">
        <v>6</v>
      </c>
      <c r="C50" s="35" t="s">
        <v>128</v>
      </c>
      <c r="D50" s="35" t="s">
        <v>208</v>
      </c>
      <c r="E50" s="35">
        <v>2</v>
      </c>
      <c r="F50" s="35">
        <v>2</v>
      </c>
      <c r="G50" s="35" t="s">
        <v>111</v>
      </c>
      <c r="H50" s="35" t="s">
        <v>113</v>
      </c>
      <c r="I50" s="35"/>
      <c r="J50" s="35"/>
    </row>
    <row r="51" spans="1:10">
      <c r="A51" s="35">
        <v>50</v>
      </c>
      <c r="B51" s="35" t="s">
        <v>6</v>
      </c>
      <c r="C51" s="35" t="s">
        <v>128</v>
      </c>
      <c r="D51" s="35" t="s">
        <v>208</v>
      </c>
      <c r="E51" s="35">
        <v>2</v>
      </c>
      <c r="F51" s="35">
        <v>3</v>
      </c>
      <c r="G51" s="35" t="s">
        <v>111</v>
      </c>
      <c r="H51" s="35" t="s">
        <v>112</v>
      </c>
      <c r="I51" s="35"/>
      <c r="J51" s="35"/>
    </row>
    <row r="52" spans="1:10">
      <c r="A52" s="35">
        <v>51</v>
      </c>
      <c r="B52" s="35" t="s">
        <v>6</v>
      </c>
      <c r="C52" s="35" t="s">
        <v>128</v>
      </c>
      <c r="D52" s="35" t="s">
        <v>208</v>
      </c>
      <c r="E52" s="35">
        <v>2</v>
      </c>
      <c r="F52" s="35">
        <v>4</v>
      </c>
      <c r="G52" s="35" t="s">
        <v>110</v>
      </c>
      <c r="H52" s="35" t="s">
        <v>112</v>
      </c>
      <c r="I52" s="35"/>
      <c r="J52" s="35"/>
    </row>
    <row r="53" spans="1:10">
      <c r="A53" s="35">
        <v>52</v>
      </c>
      <c r="B53" s="35" t="s">
        <v>6</v>
      </c>
      <c r="C53" s="35" t="s">
        <v>128</v>
      </c>
      <c r="D53" s="35" t="s">
        <v>208</v>
      </c>
      <c r="E53" s="35">
        <v>2</v>
      </c>
      <c r="F53" s="35">
        <v>5</v>
      </c>
      <c r="G53" s="35" t="s">
        <v>109</v>
      </c>
      <c r="H53" s="35" t="s">
        <v>113</v>
      </c>
      <c r="I53" s="35"/>
      <c r="J53" s="35"/>
    </row>
    <row r="54" spans="1:10">
      <c r="A54" s="35">
        <v>53</v>
      </c>
      <c r="B54" s="35" t="s">
        <v>6</v>
      </c>
      <c r="C54" s="35" t="s">
        <v>128</v>
      </c>
      <c r="D54" s="35" t="s">
        <v>208</v>
      </c>
      <c r="E54" s="35">
        <v>2</v>
      </c>
      <c r="F54" s="35">
        <v>6</v>
      </c>
      <c r="G54" s="35" t="s">
        <v>109</v>
      </c>
      <c r="H54" s="35" t="s">
        <v>112</v>
      </c>
      <c r="I54" s="35"/>
      <c r="J54" s="35"/>
    </row>
    <row r="55" spans="1:10">
      <c r="A55" s="35">
        <v>54</v>
      </c>
      <c r="B55" s="35" t="s">
        <v>6</v>
      </c>
      <c r="C55" s="35" t="s">
        <v>128</v>
      </c>
      <c r="D55" s="35" t="s">
        <v>208</v>
      </c>
      <c r="E55" s="35">
        <v>2</v>
      </c>
      <c r="F55" s="35">
        <v>7</v>
      </c>
      <c r="G55" s="35" t="s">
        <v>108</v>
      </c>
      <c r="H55" s="35" t="s">
        <v>113</v>
      </c>
      <c r="I55" s="35"/>
      <c r="J55" s="35"/>
    </row>
    <row r="56" spans="1:10">
      <c r="A56" s="35">
        <v>55</v>
      </c>
      <c r="B56" s="35" t="s">
        <v>6</v>
      </c>
      <c r="C56" s="35" t="s">
        <v>128</v>
      </c>
      <c r="D56" s="35" t="s">
        <v>208</v>
      </c>
      <c r="E56" s="35">
        <v>2</v>
      </c>
      <c r="F56" s="35">
        <v>8</v>
      </c>
      <c r="G56" s="35" t="s">
        <v>108</v>
      </c>
      <c r="H56" s="35" t="s">
        <v>112</v>
      </c>
      <c r="I56" s="35"/>
      <c r="J56" s="35"/>
    </row>
    <row r="57" spans="1:10">
      <c r="A57" s="35">
        <v>56</v>
      </c>
      <c r="B57" s="35" t="s">
        <v>6</v>
      </c>
      <c r="C57" s="35" t="s">
        <v>128</v>
      </c>
      <c r="D57" s="35" t="s">
        <v>208</v>
      </c>
      <c r="E57" s="35">
        <v>2</v>
      </c>
      <c r="F57" s="35">
        <v>9</v>
      </c>
      <c r="G57" s="35" t="s">
        <v>110</v>
      </c>
      <c r="H57" s="35" t="s">
        <v>111</v>
      </c>
      <c r="I57" s="35"/>
      <c r="J57" s="35"/>
    </row>
    <row r="58" spans="1:10">
      <c r="A58" s="35">
        <v>57</v>
      </c>
      <c r="B58" s="35" t="s">
        <v>6</v>
      </c>
      <c r="C58" s="35" t="s">
        <v>128</v>
      </c>
      <c r="D58" s="35" t="s">
        <v>208</v>
      </c>
      <c r="E58" s="35">
        <v>2</v>
      </c>
      <c r="F58" s="35">
        <v>10</v>
      </c>
      <c r="G58" s="35" t="s">
        <v>109</v>
      </c>
      <c r="H58" s="35" t="s">
        <v>111</v>
      </c>
      <c r="I58" s="35"/>
      <c r="J58" s="35"/>
    </row>
    <row r="59" spans="1:10">
      <c r="A59" s="35">
        <v>58</v>
      </c>
      <c r="B59" s="35" t="s">
        <v>6</v>
      </c>
      <c r="C59" s="35" t="s">
        <v>128</v>
      </c>
      <c r="D59" s="35" t="s">
        <v>208</v>
      </c>
      <c r="E59" s="35">
        <v>2</v>
      </c>
      <c r="F59" s="35">
        <v>11</v>
      </c>
      <c r="G59" s="35" t="s">
        <v>110</v>
      </c>
      <c r="H59" s="35" t="s">
        <v>109</v>
      </c>
      <c r="I59" s="35"/>
      <c r="J59" s="35"/>
    </row>
    <row r="60" spans="1:10">
      <c r="A60" s="35">
        <v>59</v>
      </c>
      <c r="B60" s="35" t="s">
        <v>6</v>
      </c>
      <c r="C60" s="35" t="s">
        <v>128</v>
      </c>
      <c r="D60" s="35" t="s">
        <v>208</v>
      </c>
      <c r="E60" s="35">
        <v>2</v>
      </c>
      <c r="F60" s="35">
        <v>12</v>
      </c>
      <c r="G60" s="35" t="s">
        <v>110</v>
      </c>
      <c r="H60" s="35" t="s">
        <v>108</v>
      </c>
      <c r="I60" s="35"/>
      <c r="J60" s="35"/>
    </row>
    <row r="61" spans="1:10">
      <c r="A61" s="35">
        <v>60</v>
      </c>
      <c r="B61" s="35" t="s">
        <v>6</v>
      </c>
      <c r="C61" s="35" t="s">
        <v>128</v>
      </c>
      <c r="D61" s="35" t="s">
        <v>208</v>
      </c>
      <c r="E61" s="35">
        <v>2</v>
      </c>
      <c r="F61" s="35">
        <v>13</v>
      </c>
      <c r="G61" s="35" t="s">
        <v>108</v>
      </c>
      <c r="H61" s="35" t="s">
        <v>111</v>
      </c>
      <c r="I61" s="35"/>
      <c r="J61" s="35"/>
    </row>
    <row r="62" spans="1:10">
      <c r="A62" s="35">
        <v>61</v>
      </c>
      <c r="B62" s="35" t="s">
        <v>6</v>
      </c>
      <c r="C62" s="35" t="s">
        <v>128</v>
      </c>
      <c r="D62" s="35" t="s">
        <v>208</v>
      </c>
      <c r="E62" s="35">
        <v>2</v>
      </c>
      <c r="F62" s="35">
        <v>14</v>
      </c>
      <c r="G62" s="35" t="s">
        <v>108</v>
      </c>
      <c r="H62" s="35" t="s">
        <v>109</v>
      </c>
      <c r="I62" s="35"/>
      <c r="J62" s="35"/>
    </row>
    <row r="63" spans="1:10">
      <c r="A63" s="36">
        <v>62</v>
      </c>
      <c r="B63" s="36" t="s">
        <v>131</v>
      </c>
      <c r="C63" s="36" t="s">
        <v>128</v>
      </c>
      <c r="D63" s="36" t="s">
        <v>209</v>
      </c>
      <c r="E63" s="36">
        <v>1</v>
      </c>
      <c r="F63" s="36">
        <v>1</v>
      </c>
      <c r="G63" s="36" t="s">
        <v>110</v>
      </c>
      <c r="H63" s="36"/>
      <c r="I63" s="36"/>
      <c r="J63" s="36"/>
    </row>
    <row r="64" spans="1:10">
      <c r="A64" s="36">
        <v>63</v>
      </c>
      <c r="B64" s="36" t="s">
        <v>131</v>
      </c>
      <c r="C64" s="36" t="s">
        <v>128</v>
      </c>
      <c r="D64" s="36" t="s">
        <v>209</v>
      </c>
      <c r="E64" s="36">
        <v>1</v>
      </c>
      <c r="F64" s="36">
        <v>2</v>
      </c>
      <c r="G64" s="36" t="s">
        <v>111</v>
      </c>
      <c r="H64" s="36"/>
      <c r="I64" s="36"/>
      <c r="J64" s="36"/>
    </row>
    <row r="65" spans="1:10">
      <c r="A65" s="36">
        <v>64</v>
      </c>
      <c r="B65" s="36" t="s">
        <v>131</v>
      </c>
      <c r="C65" s="36" t="s">
        <v>128</v>
      </c>
      <c r="D65" s="36" t="s">
        <v>209</v>
      </c>
      <c r="E65" s="36">
        <v>1</v>
      </c>
      <c r="F65" s="36">
        <v>3</v>
      </c>
      <c r="G65" s="36" t="s">
        <v>109</v>
      </c>
      <c r="H65" s="36"/>
      <c r="I65" s="36"/>
      <c r="J65" s="36"/>
    </row>
    <row r="66" spans="1:10">
      <c r="A66" s="36">
        <v>65</v>
      </c>
      <c r="B66" s="36" t="s">
        <v>131</v>
      </c>
      <c r="C66" s="36" t="s">
        <v>128</v>
      </c>
      <c r="D66" s="36" t="s">
        <v>209</v>
      </c>
      <c r="E66" s="36">
        <v>1</v>
      </c>
      <c r="F66" s="36">
        <v>4</v>
      </c>
      <c r="G66" s="36" t="s">
        <v>108</v>
      </c>
      <c r="H66" s="36"/>
      <c r="I66" s="36"/>
      <c r="J66" s="36"/>
    </row>
    <row r="67" spans="1:10">
      <c r="A67" s="35">
        <v>66</v>
      </c>
      <c r="B67" s="35" t="s">
        <v>5</v>
      </c>
      <c r="C67" s="35" t="s">
        <v>127</v>
      </c>
      <c r="D67" s="35" t="s">
        <v>205</v>
      </c>
      <c r="E67" s="35">
        <v>2</v>
      </c>
      <c r="F67" s="35">
        <v>1</v>
      </c>
      <c r="G67" s="35" t="s">
        <v>111</v>
      </c>
      <c r="H67" s="35" t="s">
        <v>113</v>
      </c>
      <c r="I67" s="35"/>
      <c r="J67" s="35"/>
    </row>
    <row r="68" spans="1:10">
      <c r="A68" s="35">
        <v>67</v>
      </c>
      <c r="B68" s="35" t="s">
        <v>5</v>
      </c>
      <c r="C68" s="35" t="s">
        <v>127</v>
      </c>
      <c r="D68" s="35" t="s">
        <v>205</v>
      </c>
      <c r="E68" s="35">
        <v>2</v>
      </c>
      <c r="F68" s="35">
        <v>2</v>
      </c>
      <c r="G68" s="35" t="s">
        <v>111</v>
      </c>
      <c r="H68" s="35" t="s">
        <v>112</v>
      </c>
      <c r="I68" s="35"/>
      <c r="J68" s="35"/>
    </row>
    <row r="69" spans="1:10">
      <c r="A69" s="35">
        <v>68</v>
      </c>
      <c r="B69" s="35" t="s">
        <v>5</v>
      </c>
      <c r="C69" s="35" t="s">
        <v>127</v>
      </c>
      <c r="D69" s="35" t="s">
        <v>205</v>
      </c>
      <c r="E69" s="35">
        <v>2</v>
      </c>
      <c r="F69" s="35">
        <v>3</v>
      </c>
      <c r="G69" s="35" t="s">
        <v>110</v>
      </c>
      <c r="H69" s="35" t="s">
        <v>113</v>
      </c>
      <c r="I69" s="35"/>
      <c r="J69" s="35"/>
    </row>
    <row r="70" spans="1:10">
      <c r="A70" s="35">
        <v>69</v>
      </c>
      <c r="B70" s="35" t="s">
        <v>5</v>
      </c>
      <c r="C70" s="35" t="s">
        <v>127</v>
      </c>
      <c r="D70" s="35" t="s">
        <v>205</v>
      </c>
      <c r="E70" s="35">
        <v>2</v>
      </c>
      <c r="F70" s="35">
        <v>4</v>
      </c>
      <c r="G70" s="35" t="s">
        <v>110</v>
      </c>
      <c r="H70" s="35" t="s">
        <v>112</v>
      </c>
      <c r="I70" s="35"/>
      <c r="J70" s="35"/>
    </row>
    <row r="71" spans="1:10">
      <c r="A71" s="35">
        <v>70</v>
      </c>
      <c r="B71" s="35" t="s">
        <v>5</v>
      </c>
      <c r="C71" s="35" t="s">
        <v>127</v>
      </c>
      <c r="D71" s="35" t="s">
        <v>205</v>
      </c>
      <c r="E71" s="35">
        <v>2</v>
      </c>
      <c r="F71" s="35">
        <v>5</v>
      </c>
      <c r="G71" s="35" t="s">
        <v>109</v>
      </c>
      <c r="H71" s="35" t="s">
        <v>113</v>
      </c>
      <c r="I71" s="35"/>
      <c r="J71" s="35"/>
    </row>
    <row r="72" spans="1:10">
      <c r="A72" s="35">
        <v>71</v>
      </c>
      <c r="B72" s="35" t="s">
        <v>5</v>
      </c>
      <c r="C72" s="35" t="s">
        <v>127</v>
      </c>
      <c r="D72" s="35" t="s">
        <v>205</v>
      </c>
      <c r="E72" s="35">
        <v>2</v>
      </c>
      <c r="F72" s="35">
        <v>6</v>
      </c>
      <c r="G72" s="35" t="s">
        <v>109</v>
      </c>
      <c r="H72" s="35" t="s">
        <v>112</v>
      </c>
      <c r="I72" s="35"/>
      <c r="J72" s="35"/>
    </row>
    <row r="73" spans="1:10">
      <c r="A73" s="35">
        <v>72</v>
      </c>
      <c r="B73" s="35" t="s">
        <v>5</v>
      </c>
      <c r="C73" s="35" t="s">
        <v>127</v>
      </c>
      <c r="D73" s="35" t="s">
        <v>205</v>
      </c>
      <c r="E73" s="35">
        <v>2</v>
      </c>
      <c r="F73" s="35">
        <v>7</v>
      </c>
      <c r="G73" s="35" t="s">
        <v>108</v>
      </c>
      <c r="H73" s="35" t="s">
        <v>113</v>
      </c>
      <c r="I73" s="35"/>
      <c r="J73" s="35"/>
    </row>
    <row r="74" spans="1:10">
      <c r="A74" s="35">
        <v>73</v>
      </c>
      <c r="B74" s="35" t="s">
        <v>5</v>
      </c>
      <c r="C74" s="35" t="s">
        <v>127</v>
      </c>
      <c r="D74" s="35" t="s">
        <v>205</v>
      </c>
      <c r="E74" s="35">
        <v>2</v>
      </c>
      <c r="F74" s="35">
        <v>8</v>
      </c>
      <c r="G74" s="35" t="s">
        <v>108</v>
      </c>
      <c r="H74" s="35" t="s">
        <v>112</v>
      </c>
      <c r="I74" s="35"/>
      <c r="J74" s="35"/>
    </row>
    <row r="75" spans="1:10">
      <c r="A75" s="35">
        <v>74</v>
      </c>
      <c r="B75" s="35" t="s">
        <v>5</v>
      </c>
      <c r="C75" s="35" t="s">
        <v>127</v>
      </c>
      <c r="D75" s="35" t="s">
        <v>205</v>
      </c>
      <c r="E75" s="35">
        <v>2</v>
      </c>
      <c r="F75" s="35">
        <v>9</v>
      </c>
      <c r="G75" s="35" t="s">
        <v>110</v>
      </c>
      <c r="H75" s="35" t="s">
        <v>111</v>
      </c>
      <c r="I75" s="35"/>
      <c r="J75" s="35"/>
    </row>
    <row r="76" spans="1:10">
      <c r="A76" s="35">
        <v>75</v>
      </c>
      <c r="B76" s="35" t="s">
        <v>5</v>
      </c>
      <c r="C76" s="35" t="s">
        <v>127</v>
      </c>
      <c r="D76" s="35" t="s">
        <v>205</v>
      </c>
      <c r="E76" s="35">
        <v>2</v>
      </c>
      <c r="F76" s="35">
        <v>10</v>
      </c>
      <c r="G76" s="35" t="s">
        <v>109</v>
      </c>
      <c r="H76" s="35" t="s">
        <v>111</v>
      </c>
      <c r="I76" s="35"/>
      <c r="J76" s="35"/>
    </row>
    <row r="77" spans="1:10">
      <c r="A77" s="35">
        <v>76</v>
      </c>
      <c r="B77" s="35" t="s">
        <v>5</v>
      </c>
      <c r="C77" s="35" t="s">
        <v>127</v>
      </c>
      <c r="D77" s="35" t="s">
        <v>205</v>
      </c>
      <c r="E77" s="35">
        <v>2</v>
      </c>
      <c r="F77" s="35">
        <v>11</v>
      </c>
      <c r="G77" s="35" t="s">
        <v>110</v>
      </c>
      <c r="H77" s="35" t="s">
        <v>109</v>
      </c>
      <c r="I77" s="35"/>
      <c r="J77" s="35"/>
    </row>
    <row r="78" spans="1:10">
      <c r="A78" s="35">
        <v>77</v>
      </c>
      <c r="B78" s="35" t="s">
        <v>5</v>
      </c>
      <c r="C78" s="35" t="s">
        <v>127</v>
      </c>
      <c r="D78" s="35" t="s">
        <v>205</v>
      </c>
      <c r="E78" s="35">
        <v>2</v>
      </c>
      <c r="F78" s="35">
        <v>12</v>
      </c>
      <c r="G78" s="35" t="s">
        <v>108</v>
      </c>
      <c r="H78" s="35" t="s">
        <v>111</v>
      </c>
      <c r="I78" s="35"/>
      <c r="J78" s="35"/>
    </row>
    <row r="79" spans="1:10">
      <c r="A79" s="35">
        <v>78</v>
      </c>
      <c r="B79" s="35" t="s">
        <v>5</v>
      </c>
      <c r="C79" s="35" t="s">
        <v>127</v>
      </c>
      <c r="D79" s="35" t="s">
        <v>205</v>
      </c>
      <c r="E79" s="35">
        <v>2</v>
      </c>
      <c r="F79" s="35">
        <v>13</v>
      </c>
      <c r="G79" s="35" t="s">
        <v>110</v>
      </c>
      <c r="H79" s="35" t="s">
        <v>108</v>
      </c>
      <c r="I79" s="35"/>
      <c r="J79" s="35"/>
    </row>
    <row r="80" spans="1:10">
      <c r="A80" s="35">
        <v>79</v>
      </c>
      <c r="B80" s="35" t="s">
        <v>5</v>
      </c>
      <c r="C80" s="35" t="s">
        <v>127</v>
      </c>
      <c r="D80" s="35" t="s">
        <v>205</v>
      </c>
      <c r="E80" s="35">
        <v>2</v>
      </c>
      <c r="F80" s="35">
        <v>14</v>
      </c>
      <c r="G80" s="35" t="s">
        <v>108</v>
      </c>
      <c r="H80" s="35" t="s">
        <v>109</v>
      </c>
      <c r="I80" s="35"/>
      <c r="J80" s="35"/>
    </row>
    <row r="81" spans="1:10">
      <c r="A81" s="36">
        <v>80</v>
      </c>
      <c r="B81" s="36" t="s">
        <v>130</v>
      </c>
      <c r="C81" s="36" t="s">
        <v>127</v>
      </c>
      <c r="D81" s="36" t="s">
        <v>206</v>
      </c>
      <c r="E81" s="36">
        <v>1</v>
      </c>
      <c r="F81" s="36">
        <v>1</v>
      </c>
      <c r="G81" s="36" t="s">
        <v>111</v>
      </c>
      <c r="H81" s="36"/>
      <c r="I81" s="36"/>
      <c r="J81" s="36"/>
    </row>
    <row r="82" spans="1:10">
      <c r="A82" s="36">
        <v>81</v>
      </c>
      <c r="B82" s="36" t="s">
        <v>130</v>
      </c>
      <c r="C82" s="36" t="s">
        <v>127</v>
      </c>
      <c r="D82" s="36" t="s">
        <v>206</v>
      </c>
      <c r="E82" s="36">
        <v>1</v>
      </c>
      <c r="F82" s="36">
        <v>2</v>
      </c>
      <c r="G82" s="36" t="s">
        <v>110</v>
      </c>
      <c r="H82" s="36"/>
      <c r="I82" s="36"/>
      <c r="J82" s="36"/>
    </row>
    <row r="83" spans="1:10">
      <c r="A83" s="36">
        <v>82</v>
      </c>
      <c r="B83" s="36" t="s">
        <v>130</v>
      </c>
      <c r="C83" s="36" t="s">
        <v>127</v>
      </c>
      <c r="D83" s="36" t="s">
        <v>206</v>
      </c>
      <c r="E83" s="36">
        <v>1</v>
      </c>
      <c r="F83" s="36">
        <v>3</v>
      </c>
      <c r="G83" s="36" t="s">
        <v>109</v>
      </c>
      <c r="H83" s="36"/>
      <c r="I83" s="36"/>
      <c r="J83" s="36"/>
    </row>
    <row r="84" spans="1:10">
      <c r="A84" s="36">
        <v>83</v>
      </c>
      <c r="B84" s="36" t="s">
        <v>130</v>
      </c>
      <c r="C84" s="36" t="s">
        <v>127</v>
      </c>
      <c r="D84" s="36" t="s">
        <v>206</v>
      </c>
      <c r="E84" s="36">
        <v>1</v>
      </c>
      <c r="F84" s="36">
        <v>4</v>
      </c>
      <c r="G84" s="36" t="s">
        <v>108</v>
      </c>
      <c r="H84" s="36"/>
      <c r="I84" s="36"/>
      <c r="J84" s="36"/>
    </row>
    <row r="85" spans="1:10">
      <c r="A85" s="35">
        <v>84</v>
      </c>
      <c r="B85" s="35" t="s">
        <v>131</v>
      </c>
      <c r="C85" s="35" t="s">
        <v>127</v>
      </c>
      <c r="D85" s="35" t="s">
        <v>207</v>
      </c>
      <c r="E85" s="35">
        <v>1</v>
      </c>
      <c r="F85" s="35">
        <v>1</v>
      </c>
      <c r="G85" s="35" t="s">
        <v>111</v>
      </c>
      <c r="H85" s="35"/>
      <c r="I85" s="35"/>
      <c r="J85" s="35"/>
    </row>
    <row r="86" spans="1:10">
      <c r="A86" s="35">
        <v>85</v>
      </c>
      <c r="B86" s="35" t="s">
        <v>131</v>
      </c>
      <c r="C86" s="35" t="s">
        <v>127</v>
      </c>
      <c r="D86" s="35" t="s">
        <v>207</v>
      </c>
      <c r="E86" s="35">
        <v>1</v>
      </c>
      <c r="F86" s="35">
        <v>2</v>
      </c>
      <c r="G86" s="35" t="s">
        <v>110</v>
      </c>
      <c r="H86" s="35"/>
      <c r="I86" s="35"/>
      <c r="J86" s="35"/>
    </row>
    <row r="87" spans="1:10">
      <c r="A87" s="35">
        <v>86</v>
      </c>
      <c r="B87" s="35" t="s">
        <v>131</v>
      </c>
      <c r="C87" s="35" t="s">
        <v>127</v>
      </c>
      <c r="D87" s="35" t="s">
        <v>207</v>
      </c>
      <c r="E87" s="35">
        <v>1</v>
      </c>
      <c r="F87" s="35">
        <v>3</v>
      </c>
      <c r="G87" s="35" t="s">
        <v>109</v>
      </c>
      <c r="H87" s="35"/>
      <c r="I87" s="35"/>
      <c r="J87" s="35"/>
    </row>
    <row r="88" spans="1:10">
      <c r="A88" s="35">
        <v>87</v>
      </c>
      <c r="B88" s="35" t="s">
        <v>131</v>
      </c>
      <c r="C88" s="35" t="s">
        <v>127</v>
      </c>
      <c r="D88" s="35" t="s">
        <v>207</v>
      </c>
      <c r="E88" s="35">
        <v>1</v>
      </c>
      <c r="F88" s="35">
        <v>4</v>
      </c>
      <c r="G88" s="35" t="s">
        <v>108</v>
      </c>
      <c r="H88" s="35"/>
      <c r="I88" s="35"/>
      <c r="J88" s="35"/>
    </row>
    <row r="89" spans="1:10">
      <c r="A89" s="36">
        <v>88</v>
      </c>
      <c r="B89" s="36" t="s">
        <v>4</v>
      </c>
      <c r="C89" s="36" t="s">
        <v>126</v>
      </c>
      <c r="D89" s="36" t="s">
        <v>202</v>
      </c>
      <c r="E89" s="36">
        <v>2</v>
      </c>
      <c r="F89" s="36">
        <v>1</v>
      </c>
      <c r="G89" s="36" t="s">
        <v>109</v>
      </c>
      <c r="H89" s="36" t="s">
        <v>111</v>
      </c>
      <c r="I89" s="36"/>
      <c r="J89" s="36"/>
    </row>
    <row r="90" spans="1:10">
      <c r="A90" s="36">
        <v>89</v>
      </c>
      <c r="B90" s="36" t="s">
        <v>4</v>
      </c>
      <c r="C90" s="36" t="s">
        <v>126</v>
      </c>
      <c r="D90" s="36" t="s">
        <v>202</v>
      </c>
      <c r="E90" s="36">
        <v>2</v>
      </c>
      <c r="F90" s="36">
        <v>2</v>
      </c>
      <c r="G90" s="36" t="s">
        <v>109</v>
      </c>
      <c r="H90" s="36" t="s">
        <v>112</v>
      </c>
      <c r="I90" s="36"/>
      <c r="J90" s="36"/>
    </row>
    <row r="91" spans="1:10">
      <c r="A91" s="36">
        <v>90</v>
      </c>
      <c r="B91" s="36" t="s">
        <v>4</v>
      </c>
      <c r="C91" s="36" t="s">
        <v>126</v>
      </c>
      <c r="D91" s="36" t="s">
        <v>202</v>
      </c>
      <c r="E91" s="36">
        <v>2</v>
      </c>
      <c r="F91" s="36">
        <v>3</v>
      </c>
      <c r="G91" s="36" t="s">
        <v>109</v>
      </c>
      <c r="H91" s="36" t="s">
        <v>113</v>
      </c>
      <c r="I91" s="36"/>
      <c r="J91" s="36"/>
    </row>
    <row r="92" spans="1:10">
      <c r="A92" s="36">
        <v>91</v>
      </c>
      <c r="B92" s="36" t="s">
        <v>4</v>
      </c>
      <c r="C92" s="36" t="s">
        <v>126</v>
      </c>
      <c r="D92" s="36" t="s">
        <v>202</v>
      </c>
      <c r="E92" s="36">
        <v>2</v>
      </c>
      <c r="F92" s="36">
        <v>4</v>
      </c>
      <c r="G92" s="36" t="s">
        <v>110</v>
      </c>
      <c r="H92" s="36" t="s">
        <v>111</v>
      </c>
      <c r="I92" s="36"/>
      <c r="J92" s="36"/>
    </row>
    <row r="93" spans="1:10">
      <c r="A93" s="36">
        <v>92</v>
      </c>
      <c r="B93" s="36" t="s">
        <v>4</v>
      </c>
      <c r="C93" s="36" t="s">
        <v>126</v>
      </c>
      <c r="D93" s="36" t="s">
        <v>202</v>
      </c>
      <c r="E93" s="36">
        <v>2</v>
      </c>
      <c r="F93" s="36">
        <v>5</v>
      </c>
      <c r="G93" s="36" t="s">
        <v>110</v>
      </c>
      <c r="H93" s="36" t="s">
        <v>112</v>
      </c>
      <c r="I93" s="36"/>
      <c r="J93" s="36"/>
    </row>
    <row r="94" spans="1:10">
      <c r="A94" s="36">
        <v>93</v>
      </c>
      <c r="B94" s="36" t="s">
        <v>4</v>
      </c>
      <c r="C94" s="36" t="s">
        <v>126</v>
      </c>
      <c r="D94" s="36" t="s">
        <v>202</v>
      </c>
      <c r="E94" s="36">
        <v>2</v>
      </c>
      <c r="F94" s="36">
        <v>6</v>
      </c>
      <c r="G94" s="36" t="s">
        <v>110</v>
      </c>
      <c r="H94" s="36" t="s">
        <v>113</v>
      </c>
      <c r="I94" s="36"/>
      <c r="J94" s="36"/>
    </row>
    <row r="95" spans="1:10">
      <c r="A95" s="36">
        <v>94</v>
      </c>
      <c r="B95" s="36" t="s">
        <v>4</v>
      </c>
      <c r="C95" s="36" t="s">
        <v>126</v>
      </c>
      <c r="D95" s="36" t="s">
        <v>202</v>
      </c>
      <c r="E95" s="36">
        <v>2</v>
      </c>
      <c r="F95" s="36">
        <v>7</v>
      </c>
      <c r="G95" s="36" t="s">
        <v>108</v>
      </c>
      <c r="H95" s="36" t="s">
        <v>111</v>
      </c>
      <c r="I95" s="36"/>
      <c r="J95" s="36"/>
    </row>
    <row r="96" spans="1:10">
      <c r="A96" s="36">
        <v>95</v>
      </c>
      <c r="B96" s="36" t="s">
        <v>4</v>
      </c>
      <c r="C96" s="36" t="s">
        <v>126</v>
      </c>
      <c r="D96" s="36" t="s">
        <v>202</v>
      </c>
      <c r="E96" s="36">
        <v>2</v>
      </c>
      <c r="F96" s="36">
        <v>8</v>
      </c>
      <c r="G96" s="36" t="s">
        <v>108</v>
      </c>
      <c r="H96" s="36" t="s">
        <v>112</v>
      </c>
      <c r="I96" s="36"/>
      <c r="J96" s="36"/>
    </row>
    <row r="97" spans="1:10">
      <c r="A97" s="36">
        <v>96</v>
      </c>
      <c r="B97" s="36" t="s">
        <v>4</v>
      </c>
      <c r="C97" s="36" t="s">
        <v>126</v>
      </c>
      <c r="D97" s="36" t="s">
        <v>202</v>
      </c>
      <c r="E97" s="36">
        <v>2</v>
      </c>
      <c r="F97" s="36">
        <v>9</v>
      </c>
      <c r="G97" s="36" t="s">
        <v>108</v>
      </c>
      <c r="H97" s="36" t="s">
        <v>113</v>
      </c>
      <c r="I97" s="36"/>
      <c r="J97" s="36"/>
    </row>
    <row r="98" spans="1:10">
      <c r="A98" s="36">
        <v>97</v>
      </c>
      <c r="B98" s="36" t="s">
        <v>4</v>
      </c>
      <c r="C98" s="36" t="s">
        <v>126</v>
      </c>
      <c r="D98" s="36" t="s">
        <v>202</v>
      </c>
      <c r="E98" s="36">
        <v>2</v>
      </c>
      <c r="F98" s="36">
        <v>10</v>
      </c>
      <c r="G98" s="36" t="s">
        <v>110</v>
      </c>
      <c r="H98" s="36" t="s">
        <v>109</v>
      </c>
      <c r="I98" s="36"/>
      <c r="J98" s="36"/>
    </row>
    <row r="99" spans="1:10">
      <c r="A99" s="36">
        <v>98</v>
      </c>
      <c r="B99" s="36" t="s">
        <v>4</v>
      </c>
      <c r="C99" s="36" t="s">
        <v>126</v>
      </c>
      <c r="D99" s="36" t="s">
        <v>202</v>
      </c>
      <c r="E99" s="36">
        <v>2</v>
      </c>
      <c r="F99" s="36">
        <v>11</v>
      </c>
      <c r="G99" s="36" t="s">
        <v>110</v>
      </c>
      <c r="H99" s="36" t="s">
        <v>108</v>
      </c>
      <c r="I99" s="36"/>
      <c r="J99" s="36"/>
    </row>
    <row r="100" spans="1:10">
      <c r="A100" s="36">
        <v>99</v>
      </c>
      <c r="B100" s="36" t="s">
        <v>4</v>
      </c>
      <c r="C100" s="36" t="s">
        <v>126</v>
      </c>
      <c r="D100" s="36" t="s">
        <v>202</v>
      </c>
      <c r="E100" s="36">
        <v>2</v>
      </c>
      <c r="F100" s="36">
        <v>12</v>
      </c>
      <c r="G100" s="36" t="s">
        <v>108</v>
      </c>
      <c r="H100" s="36" t="s">
        <v>109</v>
      </c>
      <c r="I100" s="36"/>
      <c r="J100" s="36"/>
    </row>
    <row r="101" spans="1:10">
      <c r="A101" s="35">
        <v>100</v>
      </c>
      <c r="B101" s="35" t="s">
        <v>212</v>
      </c>
      <c r="C101" s="35" t="s">
        <v>126</v>
      </c>
      <c r="D101" s="35" t="s">
        <v>213</v>
      </c>
      <c r="E101" s="35">
        <v>1</v>
      </c>
      <c r="F101" s="35">
        <v>1</v>
      </c>
      <c r="G101" s="35" t="s">
        <v>110</v>
      </c>
      <c r="H101" s="35"/>
      <c r="I101" s="35"/>
      <c r="J101" s="35"/>
    </row>
    <row r="102" spans="1:10">
      <c r="A102" s="35">
        <v>101</v>
      </c>
      <c r="B102" s="35" t="s">
        <v>212</v>
      </c>
      <c r="C102" s="35" t="s">
        <v>126</v>
      </c>
      <c r="D102" s="35" t="s">
        <v>213</v>
      </c>
      <c r="E102" s="35">
        <v>1</v>
      </c>
      <c r="F102" s="35">
        <v>2</v>
      </c>
      <c r="G102" s="35" t="s">
        <v>108</v>
      </c>
      <c r="H102" s="35"/>
      <c r="I102" s="35"/>
      <c r="J102" s="35"/>
    </row>
    <row r="103" spans="1:10">
      <c r="A103" s="35">
        <v>102</v>
      </c>
      <c r="B103" s="35" t="s">
        <v>212</v>
      </c>
      <c r="C103" s="35" t="s">
        <v>126</v>
      </c>
      <c r="D103" s="35" t="s">
        <v>213</v>
      </c>
      <c r="E103" s="35">
        <v>1</v>
      </c>
      <c r="F103" s="35">
        <v>3</v>
      </c>
      <c r="G103" s="35" t="s">
        <v>109</v>
      </c>
      <c r="H103" s="35"/>
      <c r="I103" s="35"/>
      <c r="J103" s="35"/>
    </row>
    <row r="104" spans="1:10">
      <c r="A104" s="36">
        <v>103</v>
      </c>
      <c r="B104" s="36" t="s">
        <v>130</v>
      </c>
      <c r="C104" s="36" t="s">
        <v>126</v>
      </c>
      <c r="D104" s="36" t="s">
        <v>203</v>
      </c>
      <c r="E104" s="36">
        <v>1</v>
      </c>
      <c r="F104" s="36">
        <v>1</v>
      </c>
      <c r="G104" s="36" t="s">
        <v>110</v>
      </c>
      <c r="H104" s="36"/>
      <c r="I104" s="36"/>
      <c r="J104" s="36"/>
    </row>
    <row r="105" spans="1:10">
      <c r="A105" s="36">
        <v>104</v>
      </c>
      <c r="B105" s="36" t="s">
        <v>130</v>
      </c>
      <c r="C105" s="36" t="s">
        <v>126</v>
      </c>
      <c r="D105" s="36" t="s">
        <v>203</v>
      </c>
      <c r="E105" s="36">
        <v>1</v>
      </c>
      <c r="F105" s="36">
        <v>2</v>
      </c>
      <c r="G105" s="36" t="s">
        <v>109</v>
      </c>
      <c r="H105" s="36"/>
      <c r="I105" s="36"/>
      <c r="J105" s="36"/>
    </row>
    <row r="106" spans="1:10">
      <c r="A106" s="36">
        <v>105</v>
      </c>
      <c r="B106" s="36" t="s">
        <v>130</v>
      </c>
      <c r="C106" s="36" t="s">
        <v>126</v>
      </c>
      <c r="D106" s="36" t="s">
        <v>203</v>
      </c>
      <c r="E106" s="36">
        <v>1</v>
      </c>
      <c r="F106" s="36">
        <v>3</v>
      </c>
      <c r="G106" s="36" t="s">
        <v>108</v>
      </c>
      <c r="H106" s="36"/>
      <c r="I106" s="36"/>
      <c r="J106" s="36"/>
    </row>
    <row r="107" spans="1:10">
      <c r="A107" s="35">
        <v>106</v>
      </c>
      <c r="B107" s="35" t="s">
        <v>131</v>
      </c>
      <c r="C107" s="35" t="s">
        <v>126</v>
      </c>
      <c r="D107" s="35" t="s">
        <v>204</v>
      </c>
      <c r="E107" s="35">
        <v>1</v>
      </c>
      <c r="F107" s="35">
        <v>1</v>
      </c>
      <c r="G107" s="35" t="s">
        <v>110</v>
      </c>
      <c r="H107" s="35"/>
      <c r="I107" s="35"/>
      <c r="J107" s="35"/>
    </row>
    <row r="108" spans="1:10">
      <c r="A108" s="35">
        <v>107</v>
      </c>
      <c r="B108" s="35" t="s">
        <v>131</v>
      </c>
      <c r="C108" s="35" t="s">
        <v>126</v>
      </c>
      <c r="D108" s="35" t="s">
        <v>204</v>
      </c>
      <c r="E108" s="35">
        <v>1</v>
      </c>
      <c r="F108" s="35">
        <v>2</v>
      </c>
      <c r="G108" s="35" t="s">
        <v>109</v>
      </c>
      <c r="H108" s="35"/>
      <c r="I108" s="35"/>
      <c r="J108" s="35"/>
    </row>
    <row r="109" spans="1:10">
      <c r="A109" s="35">
        <v>108</v>
      </c>
      <c r="B109" s="35" t="s">
        <v>131</v>
      </c>
      <c r="C109" s="35" t="s">
        <v>126</v>
      </c>
      <c r="D109" s="35" t="s">
        <v>204</v>
      </c>
      <c r="E109" s="35">
        <v>1</v>
      </c>
      <c r="F109" s="35">
        <v>3</v>
      </c>
      <c r="G109" s="35" t="s">
        <v>108</v>
      </c>
      <c r="H109" s="35"/>
      <c r="I109" s="35"/>
      <c r="J109" s="35"/>
    </row>
    <row r="110" spans="1:10">
      <c r="A110" s="36">
        <v>109</v>
      </c>
      <c r="B110" s="36" t="s">
        <v>7</v>
      </c>
      <c r="C110" s="36" t="s">
        <v>129</v>
      </c>
      <c r="D110" s="36" t="s">
        <v>197</v>
      </c>
      <c r="E110" s="36">
        <v>1</v>
      </c>
      <c r="F110" s="36">
        <v>1</v>
      </c>
      <c r="G110" s="36" t="s">
        <v>112</v>
      </c>
      <c r="H110" s="36"/>
      <c r="I110" s="36"/>
      <c r="J110" s="36"/>
    </row>
    <row r="111" spans="1:10">
      <c r="A111" s="36">
        <v>110</v>
      </c>
      <c r="B111" s="36" t="s">
        <v>7</v>
      </c>
      <c r="C111" s="36" t="s">
        <v>129</v>
      </c>
      <c r="D111" s="36" t="s">
        <v>197</v>
      </c>
      <c r="E111" s="36">
        <v>1</v>
      </c>
      <c r="F111" s="36">
        <v>2</v>
      </c>
      <c r="G111" s="36" t="s">
        <v>110</v>
      </c>
      <c r="H111" s="36"/>
      <c r="I111" s="36"/>
      <c r="J111" s="36"/>
    </row>
    <row r="112" spans="1:10">
      <c r="A112" s="36">
        <v>111</v>
      </c>
      <c r="B112" s="36" t="s">
        <v>7</v>
      </c>
      <c r="C112" s="36" t="s">
        <v>129</v>
      </c>
      <c r="D112" s="36" t="s">
        <v>197</v>
      </c>
      <c r="E112" s="36">
        <v>1</v>
      </c>
      <c r="F112" s="36">
        <v>3</v>
      </c>
      <c r="G112" s="36" t="s">
        <v>109</v>
      </c>
      <c r="H112" s="36"/>
      <c r="I112" s="36"/>
      <c r="J112" s="36"/>
    </row>
    <row r="113" spans="1:10">
      <c r="A113" s="36">
        <v>112</v>
      </c>
      <c r="B113" s="36" t="s">
        <v>7</v>
      </c>
      <c r="C113" s="36" t="s">
        <v>129</v>
      </c>
      <c r="D113" s="36" t="s">
        <v>197</v>
      </c>
      <c r="E113" s="36">
        <v>1</v>
      </c>
      <c r="F113" s="36">
        <v>4</v>
      </c>
      <c r="G113" s="36" t="s">
        <v>113</v>
      </c>
      <c r="H113" s="36"/>
      <c r="I113" s="36"/>
      <c r="J113" s="36"/>
    </row>
    <row r="114" spans="1:10">
      <c r="A114" s="36">
        <v>113</v>
      </c>
      <c r="B114" s="36" t="s">
        <v>7</v>
      </c>
      <c r="C114" s="36" t="s">
        <v>129</v>
      </c>
      <c r="D114" s="36" t="s">
        <v>197</v>
      </c>
      <c r="E114" s="36">
        <v>1</v>
      </c>
      <c r="F114" s="36">
        <v>5</v>
      </c>
      <c r="G114" s="36" t="s">
        <v>111</v>
      </c>
      <c r="H114" s="36"/>
      <c r="I114" s="36"/>
      <c r="J114" s="36"/>
    </row>
    <row r="115" spans="1:10">
      <c r="A115" s="36">
        <v>114</v>
      </c>
      <c r="B115" s="36" t="s">
        <v>7</v>
      </c>
      <c r="C115" s="36" t="s">
        <v>129</v>
      </c>
      <c r="D115" s="36" t="s">
        <v>197</v>
      </c>
      <c r="E115" s="36">
        <v>1</v>
      </c>
      <c r="F115" s="36">
        <v>6</v>
      </c>
      <c r="G115" s="36" t="s">
        <v>108</v>
      </c>
      <c r="H115" s="36"/>
      <c r="I115" s="36"/>
      <c r="J115" s="36"/>
    </row>
    <row r="116" spans="1:10">
      <c r="A116" s="35">
        <v>115</v>
      </c>
      <c r="B116" s="35" t="s">
        <v>130</v>
      </c>
      <c r="C116" s="35" t="s">
        <v>129</v>
      </c>
      <c r="D116" s="35" t="s">
        <v>198</v>
      </c>
      <c r="E116" s="35">
        <v>1</v>
      </c>
      <c r="F116" s="35">
        <v>1</v>
      </c>
      <c r="G116" s="35" t="s">
        <v>112</v>
      </c>
      <c r="H116" s="35"/>
      <c r="I116" s="35"/>
      <c r="J116" s="35"/>
    </row>
    <row r="117" spans="1:10">
      <c r="A117" s="35">
        <v>116</v>
      </c>
      <c r="B117" s="35" t="s">
        <v>130</v>
      </c>
      <c r="C117" s="35" t="s">
        <v>129</v>
      </c>
      <c r="D117" s="35" t="s">
        <v>198</v>
      </c>
      <c r="E117" s="35">
        <v>1</v>
      </c>
      <c r="F117" s="35">
        <v>2</v>
      </c>
      <c r="G117" s="35" t="s">
        <v>109</v>
      </c>
      <c r="H117" s="35"/>
      <c r="I117" s="35"/>
      <c r="J117" s="35"/>
    </row>
    <row r="118" spans="1:10">
      <c r="A118" s="35">
        <v>117</v>
      </c>
      <c r="B118" s="35" t="s">
        <v>130</v>
      </c>
      <c r="C118" s="35" t="s">
        <v>129</v>
      </c>
      <c r="D118" s="35" t="s">
        <v>198</v>
      </c>
      <c r="E118" s="35">
        <v>1</v>
      </c>
      <c r="F118" s="35">
        <v>3</v>
      </c>
      <c r="G118" s="35" t="s">
        <v>110</v>
      </c>
      <c r="H118" s="35"/>
      <c r="I118" s="35"/>
      <c r="J118" s="35"/>
    </row>
    <row r="119" spans="1:10">
      <c r="A119" s="35">
        <v>118</v>
      </c>
      <c r="B119" s="35" t="s">
        <v>130</v>
      </c>
      <c r="C119" s="35" t="s">
        <v>129</v>
      </c>
      <c r="D119" s="35" t="s">
        <v>198</v>
      </c>
      <c r="E119" s="35">
        <v>1</v>
      </c>
      <c r="F119" s="35">
        <v>4</v>
      </c>
      <c r="G119" s="35" t="s">
        <v>111</v>
      </c>
      <c r="H119" s="35"/>
      <c r="I119" s="35"/>
      <c r="J119" s="35"/>
    </row>
    <row r="120" spans="1:10">
      <c r="A120" s="35">
        <v>119</v>
      </c>
      <c r="B120" s="35" t="s">
        <v>130</v>
      </c>
      <c r="C120" s="35" t="s">
        <v>129</v>
      </c>
      <c r="D120" s="35" t="s">
        <v>198</v>
      </c>
      <c r="E120" s="35">
        <v>1</v>
      </c>
      <c r="F120" s="35">
        <v>5</v>
      </c>
      <c r="G120" s="35" t="s">
        <v>108</v>
      </c>
      <c r="H120" s="35"/>
      <c r="I120" s="35"/>
      <c r="J120" s="35"/>
    </row>
  </sheetData>
  <phoneticPr fontId="1"/>
  <pageMargins left="0.7" right="0.7" top="0.75" bottom="0.75" header="0.3" footer="0.3"/>
  <drawing r:id="rId1"/>
  <legacyDrawing r:id="rId2"/>
  <mc:AlternateContent>
    <mc:Choice Requires="x14">
      <controls>
        <mc:AlternateContent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B6" sqref="B6"/>
      <selection pane="topRight" activeCell="B6" sqref="B6"/>
      <selection pane="bottomLeft" activeCell="B6" sqref="B6"/>
      <selection pane="bottomRight" activeCell="B6" sqref="B6"/>
    </sheetView>
  </sheetViews>
  <sheetFormatPr defaultRowHeight="19.25" customHeight="1"/>
  <cols>
    <col min="1" max="1" bestFit="true" customWidth="true" width="14.58203125"/>
    <col min="2" max="2" bestFit="true" customWidth="true" width="7.33203125"/>
    <col min="3" max="33" customWidth="true" width="3.6640625"/>
    <col min="34" max="34" bestFit="true" customWidth="true" width="12.08203125"/>
    <col min="35" max="35" bestFit="true" customWidth="true" width="12.6640625"/>
    <col min="36" max="36" bestFit="true" customWidth="true" width="10.6640625"/>
    <col min="37" max="37" bestFit="true" customWidth="true" width="9.1640625"/>
    <col min="38" max="38" customWidth="true" width="3.58203125"/>
  </cols>
  <sheetData>
    <row r="1" spans="1:38" ht="19.25" customHeight="1" thickBot="1">
      <c r="A1" s="15">
        <v>46113</v>
      </c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16" t="s">
        <v>136</v>
      </c>
      <c r="AC1" s="4"/>
      <c r="AD1" s="4"/>
      <c r="AE1" s="4"/>
      <c r="AF1" s="4"/>
      <c r="AG1" s="4"/>
      <c r="AH1" s="4"/>
      <c r="AI1" s="4"/>
      <c r="AJ1" s="4"/>
      <c r="AK1" s="4"/>
      <c r="AL1" s="4"/>
    </row>
    <row r="2" spans="1:38" ht="19.25" customHeight="1" thickBot="1">
      <c r="A2" s="17">
        <v>2026</v>
      </c>
      <c r="B2" s="18">
        <v>4</v>
      </c>
      <c r="C2" s="4"/>
      <c r="D2" s="19" t="s">
        <v>137</v>
      </c>
      <c r="E2" s="4"/>
      <c r="F2" s="4"/>
      <c r="G2" s="4"/>
      <c r="H2" s="4"/>
      <c r="I2" s="4"/>
      <c r="J2" s="16" t="s">
        <v>138</v>
      </c>
      <c r="K2" s="16" t="s">
        <v>139</v>
      </c>
      <c r="L2" s="20"/>
      <c r="M2" s="4"/>
      <c r="N2" s="16" t="s">
        <v>140</v>
      </c>
      <c r="O2" s="16"/>
      <c r="P2" s="16" t="s">
        <v>141</v>
      </c>
      <c r="Q2" s="16"/>
      <c r="R2" s="4"/>
      <c r="S2" s="16" t="s">
        <v>142</v>
      </c>
      <c r="T2" s="4" t="s">
        <v>143</v>
      </c>
      <c r="U2" s="4"/>
      <c r="V2" s="21" t="s">
        <v>144</v>
      </c>
      <c r="W2" s="22"/>
      <c r="X2" s="23" t="s">
        <v>145</v>
      </c>
      <c r="Y2" s="22"/>
      <c r="Z2" s="24"/>
      <c r="AA2" s="4"/>
      <c r="AB2" s="16" t="s">
        <v>146</v>
      </c>
      <c r="AC2" s="4"/>
      <c r="AD2" s="4"/>
      <c r="AE2" s="4"/>
      <c r="AF2" s="4"/>
      <c r="AG2" s="4"/>
      <c r="AH2" s="4"/>
      <c r="AI2" s="5" t="s">
        <v>147</v>
      </c>
      <c r="AJ2" s="4"/>
      <c r="AK2" s="4"/>
      <c r="AL2" s="4"/>
    </row>
    <row r="3" spans="1:38" ht="9.75" customHeight="1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5"/>
      <c r="AJ3" s="4"/>
      <c r="AK3" s="4"/>
      <c r="AL3" s="4"/>
    </row>
    <row r="4" spans="1:38" ht="19.25" customHeight="1">
      <c r="A4" s="42"/>
      <c r="B4" s="42"/>
      <c r="C4" s="77">
        <v>46113</v>
      </c>
      <c r="D4" s="77">
        <v>46114</v>
      </c>
      <c r="E4" s="77">
        <v>46115</v>
      </c>
      <c r="F4" s="45">
        <v>46116</v>
      </c>
      <c r="G4" s="45">
        <v>46117</v>
      </c>
      <c r="H4" s="77">
        <v>46118</v>
      </c>
      <c r="I4" s="77">
        <v>46119</v>
      </c>
      <c r="J4" s="77">
        <v>46120</v>
      </c>
      <c r="K4" s="77">
        <v>46121</v>
      </c>
      <c r="L4" s="77">
        <v>46122</v>
      </c>
      <c r="M4" s="45">
        <v>46123</v>
      </c>
      <c r="N4" s="45">
        <v>46124</v>
      </c>
      <c r="O4" s="77">
        <v>46125</v>
      </c>
      <c r="P4" s="77">
        <v>46126</v>
      </c>
      <c r="Q4" s="77">
        <v>46127</v>
      </c>
      <c r="R4" s="77">
        <v>46128</v>
      </c>
      <c r="S4" s="77">
        <v>46129</v>
      </c>
      <c r="T4" s="45">
        <v>46130</v>
      </c>
      <c r="U4" s="45">
        <v>46131</v>
      </c>
      <c r="V4" s="77">
        <v>46132</v>
      </c>
      <c r="W4" s="77">
        <v>46133</v>
      </c>
      <c r="X4" s="77">
        <v>46134</v>
      </c>
      <c r="Y4" s="77">
        <v>46135</v>
      </c>
      <c r="Z4" s="77">
        <v>46136</v>
      </c>
      <c r="AA4" s="45">
        <v>46137</v>
      </c>
      <c r="AB4" s="45">
        <v>46138</v>
      </c>
      <c r="AC4" s="77">
        <v>46139</v>
      </c>
      <c r="AD4" s="77">
        <v>46140</v>
      </c>
      <c r="AE4" s="77">
        <v>46141</v>
      </c>
      <c r="AF4" s="77">
        <v>46142</v>
      </c>
      <c r="AG4" s="77"/>
      <c r="AH4" s="26"/>
      <c r="AI4" s="27">
        <v>21</v>
      </c>
      <c r="AJ4" s="4"/>
      <c r="AK4" s="4"/>
      <c r="AL4" s="26"/>
    </row>
    <row r="5" spans="1:38" ht="19.25" customHeight="1">
      <c r="A5" s="42"/>
      <c r="B5" s="48" t="s">
        <v>148</v>
      </c>
      <c r="C5" s="78">
        <v>46113</v>
      </c>
      <c r="D5" s="78">
        <v>46114</v>
      </c>
      <c r="E5" s="78">
        <v>46115</v>
      </c>
      <c r="F5" s="46">
        <v>46116</v>
      </c>
      <c r="G5" s="46">
        <v>46117</v>
      </c>
      <c r="H5" s="78">
        <v>46118</v>
      </c>
      <c r="I5" s="78">
        <v>46119</v>
      </c>
      <c r="J5" s="78">
        <v>46120</v>
      </c>
      <c r="K5" s="78">
        <v>46121</v>
      </c>
      <c r="L5" s="78">
        <v>46122</v>
      </c>
      <c r="M5" s="46">
        <v>46123</v>
      </c>
      <c r="N5" s="46">
        <v>46124</v>
      </c>
      <c r="O5" s="78">
        <v>46125</v>
      </c>
      <c r="P5" s="78">
        <v>46126</v>
      </c>
      <c r="Q5" s="78">
        <v>46127</v>
      </c>
      <c r="R5" s="78">
        <v>46128</v>
      </c>
      <c r="S5" s="78">
        <v>46129</v>
      </c>
      <c r="T5" s="46">
        <v>46130</v>
      </c>
      <c r="U5" s="46">
        <v>46131</v>
      </c>
      <c r="V5" s="78">
        <v>46132</v>
      </c>
      <c r="W5" s="78">
        <v>46133</v>
      </c>
      <c r="X5" s="78">
        <v>46134</v>
      </c>
      <c r="Y5" s="78">
        <v>46135</v>
      </c>
      <c r="Z5" s="78">
        <v>46136</v>
      </c>
      <c r="AA5" s="46">
        <v>46137</v>
      </c>
      <c r="AB5" s="46">
        <v>46138</v>
      </c>
      <c r="AC5" s="78">
        <v>46139</v>
      </c>
      <c r="AD5" s="78">
        <v>46140</v>
      </c>
      <c r="AE5" s="78">
        <v>46141</v>
      </c>
      <c r="AF5" s="78">
        <v>46142</v>
      </c>
      <c r="AG5" s="78"/>
      <c r="AH5" s="28"/>
      <c r="AI5" s="29" t="s">
        <v>149</v>
      </c>
      <c r="AJ5" s="5" t="s">
        <v>150</v>
      </c>
      <c r="AK5" s="5" t="s">
        <v>151</v>
      </c>
      <c r="AL5" s="28"/>
    </row>
    <row r="6" spans="1:38" ht="19.25" customHeight="1">
      <c r="A6" s="42" t="s">
        <v>152</v>
      </c>
      <c r="B6" s="48"/>
      <c r="C6" s="48"/>
      <c r="D6" s="48"/>
      <c r="E6" s="48"/>
      <c r="F6" s="47"/>
      <c r="G6" s="47"/>
      <c r="H6" s="48"/>
      <c r="I6" s="48"/>
      <c r="J6" s="48"/>
      <c r="K6" s="48"/>
      <c r="L6" s="48"/>
      <c r="M6" s="47"/>
      <c r="N6" s="47"/>
      <c r="O6" s="48"/>
      <c r="P6" s="48"/>
      <c r="Q6" s="48"/>
      <c r="R6" s="48"/>
      <c r="S6" s="48"/>
      <c r="T6" s="47"/>
      <c r="U6" s="47"/>
      <c r="V6" s="48"/>
      <c r="W6" s="48"/>
      <c r="X6" s="48"/>
      <c r="Y6" s="48"/>
      <c r="Z6" s="48"/>
      <c r="AA6" s="47"/>
      <c r="AB6" s="47"/>
      <c r="AC6" s="48"/>
      <c r="AD6" s="48"/>
      <c r="AE6" s="43"/>
      <c r="AF6" s="48"/>
      <c r="AG6" s="48"/>
      <c r="AH6" s="25" t="s">
        <v>152</v>
      </c>
      <c r="AI6" s="30">
        <v>156.45000000000002</v>
      </c>
      <c r="AJ6" s="5">
        <v>0</v>
      </c>
      <c r="AK6" s="5"/>
      <c r="AL6" s="4"/>
    </row>
    <row r="7" spans="1:38" ht="19.25" customHeight="1">
      <c r="A7" s="42"/>
      <c r="B7" s="48"/>
      <c r="C7" s="48"/>
      <c r="D7" s="48"/>
      <c r="E7" s="48"/>
      <c r="F7" s="47"/>
      <c r="G7" s="47"/>
      <c r="H7" s="48"/>
      <c r="I7" s="48"/>
      <c r="J7" s="48"/>
      <c r="K7" s="48"/>
      <c r="L7" s="48"/>
      <c r="M7" s="47"/>
      <c r="N7" s="47"/>
      <c r="O7" s="48"/>
      <c r="P7" s="48"/>
      <c r="Q7" s="48"/>
      <c r="R7" s="48"/>
      <c r="S7" s="48"/>
      <c r="T7" s="47"/>
      <c r="U7" s="47"/>
      <c r="V7" s="48"/>
      <c r="W7" s="48"/>
      <c r="X7" s="48"/>
      <c r="Y7" s="48"/>
      <c r="Z7" s="48"/>
      <c r="AA7" s="47"/>
      <c r="AB7" s="47"/>
      <c r="AC7" s="48"/>
      <c r="AD7" s="48"/>
      <c r="AE7" s="43"/>
      <c r="AF7" s="48"/>
      <c r="AG7" s="48"/>
      <c r="AH7" s="25"/>
      <c r="AI7" s="30">
        <v>156.45000000000002</v>
      </c>
      <c r="AJ7" s="5"/>
      <c r="AK7" s="5"/>
      <c r="AL7" s="4"/>
    </row>
    <row r="8" spans="1:38" ht="19.25" customHeight="1">
      <c r="A8" s="42" t="s">
        <v>153</v>
      </c>
      <c r="B8" s="48"/>
      <c r="C8" s="48"/>
      <c r="D8" s="48"/>
      <c r="E8" s="48"/>
      <c r="F8" s="47"/>
      <c r="G8" s="47"/>
      <c r="H8" s="48"/>
      <c r="I8" s="48"/>
      <c r="J8" s="48"/>
      <c r="K8" s="48"/>
      <c r="L8" s="48"/>
      <c r="M8" s="47"/>
      <c r="N8" s="47"/>
      <c r="O8" s="48"/>
      <c r="P8" s="48"/>
      <c r="Q8" s="48"/>
      <c r="R8" s="48"/>
      <c r="S8" s="48"/>
      <c r="T8" s="47"/>
      <c r="U8" s="47"/>
      <c r="V8" s="48"/>
      <c r="W8" s="48"/>
      <c r="X8" s="48"/>
      <c r="Y8" s="48"/>
      <c r="Z8" s="48"/>
      <c r="AA8" s="47"/>
      <c r="AB8" s="47"/>
      <c r="AC8" s="48"/>
      <c r="AD8" s="48"/>
      <c r="AE8" s="44" t="s">
        <v>138</v>
      </c>
      <c r="AF8" s="48"/>
      <c r="AG8" s="48"/>
      <c r="AH8" s="25" t="s">
        <v>114</v>
      </c>
      <c r="AI8" s="30">
        <v>149</v>
      </c>
      <c r="AJ8" s="5">
        <v>0</v>
      </c>
      <c r="AK8" s="30" t="e" vm="1">
        <v>#VALUE!</v>
      </c>
      <c r="AL8" s="4"/>
    </row>
    <row r="9" spans="1:38" ht="19.25" customHeight="1">
      <c r="A9" s="42" t="s">
        <v>115</v>
      </c>
      <c r="B9" s="48"/>
      <c r="C9" s="48"/>
      <c r="D9" s="48"/>
      <c r="E9" s="48"/>
      <c r="F9" s="47"/>
      <c r="G9" s="47"/>
      <c r="H9" s="48"/>
      <c r="I9" s="48"/>
      <c r="J9" s="48"/>
      <c r="K9" s="48"/>
      <c r="L9" s="48"/>
      <c r="M9" s="47"/>
      <c r="N9" s="47"/>
      <c r="O9" s="48"/>
      <c r="P9" s="48"/>
      <c r="Q9" s="48"/>
      <c r="R9" s="48"/>
      <c r="S9" s="48"/>
      <c r="T9" s="47"/>
      <c r="U9" s="47"/>
      <c r="V9" s="48"/>
      <c r="W9" s="48"/>
      <c r="X9" s="48"/>
      <c r="Y9" s="48"/>
      <c r="Z9" s="48"/>
      <c r="AA9" s="47"/>
      <c r="AB9" s="47"/>
      <c r="AC9" s="48"/>
      <c r="AD9" s="48"/>
      <c r="AE9" s="44" t="s">
        <v>138</v>
      </c>
      <c r="AF9" s="48"/>
      <c r="AG9" s="48"/>
      <c r="AH9" s="25" t="s">
        <v>116</v>
      </c>
      <c r="AI9" s="30">
        <v>149</v>
      </c>
      <c r="AJ9" s="5">
        <v>0</v>
      </c>
      <c r="AK9" s="30" t="e" vm="1">
        <v>#VALUE!</v>
      </c>
      <c r="AL9" s="4"/>
    </row>
    <row r="10" spans="1:38" ht="19.25" customHeight="1">
      <c r="A10" s="42"/>
      <c r="B10" s="48"/>
      <c r="C10" s="48"/>
      <c r="D10" s="48"/>
      <c r="E10" s="48"/>
      <c r="F10" s="47"/>
      <c r="G10" s="47"/>
      <c r="H10" s="48"/>
      <c r="I10" s="48"/>
      <c r="J10" s="48"/>
      <c r="K10" s="48"/>
      <c r="L10" s="48"/>
      <c r="M10" s="47"/>
      <c r="N10" s="47"/>
      <c r="O10" s="48"/>
      <c r="P10" s="48"/>
      <c r="Q10" s="48"/>
      <c r="R10" s="48"/>
      <c r="S10" s="48"/>
      <c r="T10" s="47"/>
      <c r="U10" s="47"/>
      <c r="V10" s="48"/>
      <c r="W10" s="48"/>
      <c r="X10" s="48"/>
      <c r="Y10" s="48"/>
      <c r="Z10" s="48"/>
      <c r="AA10" s="47"/>
      <c r="AB10" s="47"/>
      <c r="AC10" s="48"/>
      <c r="AD10" s="48"/>
      <c r="AE10" s="43"/>
      <c r="AF10" s="48"/>
      <c r="AG10" s="48"/>
      <c r="AH10" s="25"/>
      <c r="AI10" s="30"/>
      <c r="AJ10" s="5"/>
      <c r="AK10" s="30"/>
      <c r="AL10" s="4"/>
    </row>
    <row r="11" spans="1:38" ht="19.25" customHeight="1">
      <c r="A11" s="42" t="s">
        <v>155</v>
      </c>
      <c r="B11" s="48" t="s">
        <v>156</v>
      </c>
      <c r="C11" s="44" t="s">
        <v>138</v>
      </c>
      <c r="D11" s="48"/>
      <c r="E11" s="48"/>
      <c r="F11" s="47"/>
      <c r="G11" s="47"/>
      <c r="H11" s="48"/>
      <c r="I11" s="48"/>
      <c r="J11" s="48"/>
      <c r="K11" s="48"/>
      <c r="L11" s="48"/>
      <c r="M11" s="47"/>
      <c r="N11" s="47"/>
      <c r="O11" s="48"/>
      <c r="P11" s="48"/>
      <c r="Q11" s="48"/>
      <c r="R11" s="48"/>
      <c r="S11" s="48"/>
      <c r="T11" s="47"/>
      <c r="U11" s="47"/>
      <c r="V11" s="48"/>
      <c r="W11" s="48"/>
      <c r="X11" s="48"/>
      <c r="Y11" s="48"/>
      <c r="Z11" s="48"/>
      <c r="AA11" s="47"/>
      <c r="AB11" s="47"/>
      <c r="AC11" s="48"/>
      <c r="AD11" s="48"/>
      <c r="AE11" s="43"/>
      <c r="AF11" s="48"/>
      <c r="AG11" s="48"/>
      <c r="AH11" s="25" t="s">
        <v>117</v>
      </c>
      <c r="AI11" s="30">
        <v>149</v>
      </c>
      <c r="AJ11" s="5">
        <v>1</v>
      </c>
      <c r="AK11" s="30" t="e" vm="1">
        <v>#VALUE!</v>
      </c>
      <c r="AL11" s="4"/>
    </row>
    <row r="12" spans="1:38" ht="19.25" customHeight="1">
      <c r="A12" s="42" t="s">
        <v>108</v>
      </c>
      <c r="B12" s="48" t="s">
        <v>156</v>
      </c>
      <c r="C12" s="48"/>
      <c r="D12" s="48"/>
      <c r="E12" s="48"/>
      <c r="F12" s="47"/>
      <c r="G12" s="47"/>
      <c r="H12" s="48"/>
      <c r="I12" s="48"/>
      <c r="J12" s="48"/>
      <c r="K12" s="48"/>
      <c r="L12" s="44" t="s">
        <v>159</v>
      </c>
      <c r="M12" s="47"/>
      <c r="N12" s="47"/>
      <c r="O12" s="48"/>
      <c r="P12" s="48"/>
      <c r="Q12" s="48"/>
      <c r="R12" s="48"/>
      <c r="S12" s="48"/>
      <c r="T12" s="47"/>
      <c r="U12" s="47"/>
      <c r="V12" s="48"/>
      <c r="W12" s="48"/>
      <c r="X12" s="48"/>
      <c r="Y12" s="48"/>
      <c r="Z12" s="48"/>
      <c r="AA12" s="47"/>
      <c r="AB12" s="47"/>
      <c r="AC12" s="48"/>
      <c r="AD12" s="48"/>
      <c r="AE12" s="43"/>
      <c r="AF12" s="48"/>
      <c r="AG12" s="48"/>
      <c r="AH12" s="25" t="s">
        <v>108</v>
      </c>
      <c r="AI12" s="30">
        <v>152.94999999999999</v>
      </c>
      <c r="AJ12" s="5">
        <v>1</v>
      </c>
      <c r="AK12" s="30" t="e" vm="1">
        <v>#VALUE!</v>
      </c>
      <c r="AL12" s="4"/>
    </row>
    <row r="13" spans="1:38" ht="19.25" customHeight="1">
      <c r="A13" s="42" t="s">
        <v>110</v>
      </c>
      <c r="B13" s="48" t="s">
        <v>156</v>
      </c>
      <c r="C13" s="48"/>
      <c r="D13" s="48"/>
      <c r="E13" s="48"/>
      <c r="F13" s="47"/>
      <c r="G13" s="47"/>
      <c r="H13" s="44" t="s">
        <v>159</v>
      </c>
      <c r="I13" s="48"/>
      <c r="J13" s="48"/>
      <c r="K13" s="48"/>
      <c r="L13" s="48"/>
      <c r="M13" s="47"/>
      <c r="N13" s="47"/>
      <c r="O13" s="48"/>
      <c r="P13" s="48"/>
      <c r="Q13" s="44" t="s">
        <v>159</v>
      </c>
      <c r="R13" s="48"/>
      <c r="S13" s="48"/>
      <c r="T13" s="47"/>
      <c r="U13" s="47"/>
      <c r="V13" s="48"/>
      <c r="W13" s="48"/>
      <c r="X13" s="48"/>
      <c r="Y13" s="48"/>
      <c r="Z13" s="48"/>
      <c r="AA13" s="47"/>
      <c r="AB13" s="47"/>
      <c r="AC13" s="48"/>
      <c r="AD13" s="48"/>
      <c r="AE13" s="43"/>
      <c r="AF13" s="48"/>
      <c r="AG13" s="48"/>
      <c r="AH13" s="25" t="s">
        <v>110</v>
      </c>
      <c r="AI13" s="30">
        <v>149.45000000000002</v>
      </c>
      <c r="AJ13" s="5">
        <v>1</v>
      </c>
      <c r="AK13" s="30" t="e" vm="1">
        <v>#VALUE!</v>
      </c>
      <c r="AL13" s="4"/>
    </row>
    <row r="14" spans="1:38" ht="19.25" customHeight="1">
      <c r="A14" s="42"/>
      <c r="B14" s="48"/>
      <c r="C14" s="48"/>
      <c r="D14" s="48"/>
      <c r="E14" s="48"/>
      <c r="F14" s="47"/>
      <c r="G14" s="47"/>
      <c r="H14" s="48"/>
      <c r="I14" s="48"/>
      <c r="J14" s="48"/>
      <c r="K14" s="48"/>
      <c r="L14" s="48"/>
      <c r="M14" s="47"/>
      <c r="N14" s="47"/>
      <c r="O14" s="48"/>
      <c r="P14" s="48"/>
      <c r="Q14" s="48"/>
      <c r="R14" s="48"/>
      <c r="S14" s="48"/>
      <c r="T14" s="47"/>
      <c r="U14" s="47"/>
      <c r="V14" s="48"/>
      <c r="W14" s="48"/>
      <c r="X14" s="48"/>
      <c r="Y14" s="48"/>
      <c r="Z14" s="48"/>
      <c r="AA14" s="47"/>
      <c r="AB14" s="47"/>
      <c r="AC14" s="48"/>
      <c r="AD14" s="48"/>
      <c r="AE14" s="43"/>
      <c r="AF14" s="48"/>
      <c r="AG14" s="48"/>
      <c r="AH14" s="25"/>
      <c r="AI14" s="30"/>
      <c r="AJ14" s="5"/>
      <c r="AK14" s="30" t="e" vm="1">
        <v>#VALUE!</v>
      </c>
      <c r="AL14" s="4"/>
    </row>
    <row r="15" spans="1:38" ht="19.25" customHeight="1">
      <c r="A15" s="42" t="s">
        <v>157</v>
      </c>
      <c r="B15" s="48" t="s">
        <v>156</v>
      </c>
      <c r="C15" s="48"/>
      <c r="D15" s="48"/>
      <c r="E15" s="48"/>
      <c r="F15" s="47"/>
      <c r="G15" s="47"/>
      <c r="H15" s="48"/>
      <c r="I15" s="48"/>
      <c r="J15" s="44" t="s">
        <v>138</v>
      </c>
      <c r="K15" s="48"/>
      <c r="L15" s="48"/>
      <c r="M15" s="47"/>
      <c r="N15" s="47"/>
      <c r="O15" s="48"/>
      <c r="P15" s="48"/>
      <c r="Q15" s="48"/>
      <c r="R15" s="48"/>
      <c r="S15" s="48"/>
      <c r="T15" s="47"/>
      <c r="U15" s="47"/>
      <c r="V15" s="48"/>
      <c r="W15" s="48"/>
      <c r="X15" s="48"/>
      <c r="Y15" s="48"/>
      <c r="Z15" s="48"/>
      <c r="AA15" s="47"/>
      <c r="AB15" s="47"/>
      <c r="AC15" s="48"/>
      <c r="AD15" s="48"/>
      <c r="AE15" s="43"/>
      <c r="AF15" s="48"/>
      <c r="AG15" s="48"/>
      <c r="AH15" s="25" t="s">
        <v>157</v>
      </c>
      <c r="AI15" s="30">
        <v>149</v>
      </c>
      <c r="AJ15" s="5">
        <v>1</v>
      </c>
      <c r="AK15" s="30" t="e" vm="1">
        <v>#VALUE!</v>
      </c>
      <c r="AL15" s="4"/>
    </row>
    <row r="16" spans="1:38" ht="19.25" customHeight="1">
      <c r="A16" s="42" t="s">
        <v>158</v>
      </c>
      <c r="B16" s="48" t="s">
        <v>156</v>
      </c>
      <c r="C16" s="48"/>
      <c r="D16" s="48"/>
      <c r="E16" s="48"/>
      <c r="F16" s="47"/>
      <c r="G16" s="47"/>
      <c r="H16" s="48"/>
      <c r="I16" s="48"/>
      <c r="J16" s="48"/>
      <c r="K16" s="48"/>
      <c r="L16" s="48"/>
      <c r="M16" s="47"/>
      <c r="N16" s="47"/>
      <c r="O16" s="48"/>
      <c r="P16" s="48"/>
      <c r="Q16" s="48"/>
      <c r="R16" s="48"/>
      <c r="S16" s="48"/>
      <c r="T16" s="47"/>
      <c r="U16" s="47"/>
      <c r="V16" s="48"/>
      <c r="W16" s="48"/>
      <c r="X16" s="48"/>
      <c r="Y16" s="48"/>
      <c r="Z16" s="48"/>
      <c r="AA16" s="47"/>
      <c r="AB16" s="47"/>
      <c r="AC16" s="48"/>
      <c r="AD16" s="48"/>
      <c r="AE16" s="43"/>
      <c r="AF16" s="48"/>
      <c r="AG16" s="48"/>
      <c r="AH16" s="25" t="s">
        <v>158</v>
      </c>
      <c r="AI16" s="30">
        <v>156.45000000000002</v>
      </c>
      <c r="AJ16" s="5">
        <v>1</v>
      </c>
      <c r="AK16" s="30" t="e" vm="1">
        <v>#VALUE!</v>
      </c>
      <c r="AL16" s="4"/>
    </row>
    <row r="17" spans="1:38" ht="19.25" customHeight="1">
      <c r="A17" s="42" t="s">
        <v>113</v>
      </c>
      <c r="B17" s="48" t="s">
        <v>156</v>
      </c>
      <c r="C17" s="48"/>
      <c r="D17" s="48"/>
      <c r="E17" s="48"/>
      <c r="F17" s="47"/>
      <c r="G17" s="47"/>
      <c r="H17" s="44" t="s">
        <v>154</v>
      </c>
      <c r="I17" s="48"/>
      <c r="J17" s="44" t="s">
        <v>138</v>
      </c>
      <c r="K17" s="48"/>
      <c r="L17" s="48"/>
      <c r="M17" s="47"/>
      <c r="N17" s="47"/>
      <c r="O17" s="48"/>
      <c r="P17" s="48"/>
      <c r="Q17" s="48"/>
      <c r="R17" s="48"/>
      <c r="S17" s="48"/>
      <c r="T17" s="47"/>
      <c r="U17" s="47"/>
      <c r="V17" s="48"/>
      <c r="W17" s="48"/>
      <c r="X17" s="48"/>
      <c r="Y17" s="48"/>
      <c r="Z17" s="48"/>
      <c r="AA17" s="47"/>
      <c r="AB17" s="47"/>
      <c r="AC17" s="48"/>
      <c r="AD17" s="48"/>
      <c r="AE17" s="43"/>
      <c r="AF17" s="48"/>
      <c r="AG17" s="48"/>
      <c r="AH17" s="25" t="s">
        <v>113</v>
      </c>
      <c r="AI17" s="30">
        <v>144.85000000000002</v>
      </c>
      <c r="AJ17" s="5">
        <v>1</v>
      </c>
      <c r="AK17" s="30" t="e" vm="1">
        <v>#VALUE!</v>
      </c>
      <c r="AL17" s="4"/>
    </row>
    <row r="18" spans="1:38" ht="19.25" customHeight="1">
      <c r="A18" s="42"/>
      <c r="B18" s="48"/>
      <c r="C18" s="48"/>
      <c r="D18" s="48"/>
      <c r="E18" s="48"/>
      <c r="F18" s="47"/>
      <c r="G18" s="47"/>
      <c r="H18" s="48"/>
      <c r="I18" s="48"/>
      <c r="J18" s="48"/>
      <c r="K18" s="48"/>
      <c r="L18" s="48"/>
      <c r="M18" s="47"/>
      <c r="N18" s="47"/>
      <c r="O18" s="48"/>
      <c r="P18" s="48"/>
      <c r="Q18" s="48"/>
      <c r="R18" s="48"/>
      <c r="S18" s="48"/>
      <c r="T18" s="47"/>
      <c r="U18" s="47"/>
      <c r="V18" s="48"/>
      <c r="W18" s="48"/>
      <c r="X18" s="48"/>
      <c r="Y18" s="48"/>
      <c r="Z18" s="48"/>
      <c r="AA18" s="47"/>
      <c r="AB18" s="47"/>
      <c r="AC18" s="48"/>
      <c r="AD18" s="48"/>
      <c r="AE18" s="43"/>
      <c r="AF18" s="48"/>
      <c r="AG18" s="48"/>
      <c r="AH18" s="25"/>
      <c r="AI18" s="30"/>
      <c r="AJ18" s="5"/>
      <c r="AK18" s="30"/>
      <c r="AL18" s="4"/>
    </row>
    <row r="19" spans="1:38" ht="19.25" customHeight="1">
      <c r="A19" s="42" t="s">
        <v>160</v>
      </c>
      <c r="B19" s="48" t="s">
        <v>161</v>
      </c>
      <c r="C19" s="44" t="s">
        <v>221</v>
      </c>
      <c r="D19" s="44" t="s">
        <v>221</v>
      </c>
      <c r="E19" s="44" t="s">
        <v>221</v>
      </c>
      <c r="F19" s="47"/>
      <c r="G19" s="47"/>
      <c r="H19" s="44" t="s">
        <v>221</v>
      </c>
      <c r="I19" s="44" t="s">
        <v>221</v>
      </c>
      <c r="J19" s="44" t="s">
        <v>221</v>
      </c>
      <c r="K19" s="44" t="s">
        <v>221</v>
      </c>
      <c r="L19" s="44" t="s">
        <v>221</v>
      </c>
      <c r="M19" s="47"/>
      <c r="N19" s="47"/>
      <c r="O19" s="44" t="s">
        <v>221</v>
      </c>
      <c r="P19" s="44" t="s">
        <v>221</v>
      </c>
      <c r="Q19" s="44" t="s">
        <v>221</v>
      </c>
      <c r="R19" s="44" t="s">
        <v>221</v>
      </c>
      <c r="S19" s="48" t="s">
        <v>221</v>
      </c>
      <c r="T19" s="47"/>
      <c r="U19" s="47"/>
      <c r="V19" s="44" t="s">
        <v>221</v>
      </c>
      <c r="W19" s="44" t="s">
        <v>221</v>
      </c>
      <c r="X19" s="44" t="s">
        <v>221</v>
      </c>
      <c r="Y19" s="44" t="s">
        <v>221</v>
      </c>
      <c r="Z19" s="44" t="s">
        <v>221</v>
      </c>
      <c r="AA19" s="47"/>
      <c r="AB19" s="47"/>
      <c r="AC19" s="44" t="s">
        <v>221</v>
      </c>
      <c r="AD19" s="48" t="s">
        <v>221</v>
      </c>
      <c r="AE19" s="44" t="s">
        <v>138</v>
      </c>
      <c r="AF19" s="44" t="s">
        <v>138</v>
      </c>
      <c r="AG19" s="48"/>
      <c r="AH19" s="25" t="s">
        <v>160</v>
      </c>
      <c r="AI19" s="30">
        <v>141.55000000000001</v>
      </c>
      <c r="AJ19" s="5">
        <v>2</v>
      </c>
      <c r="AK19" s="30" t="e" vm="1">
        <v>#VALUE!</v>
      </c>
      <c r="AL19" s="4"/>
    </row>
    <row r="20" spans="1:38" ht="19.25" customHeight="1">
      <c r="A20" s="42" t="s">
        <v>118</v>
      </c>
      <c r="B20" s="48" t="s">
        <v>161</v>
      </c>
      <c r="C20" s="48"/>
      <c r="D20" s="48"/>
      <c r="E20" s="44" t="s">
        <v>138</v>
      </c>
      <c r="F20" s="47"/>
      <c r="G20" s="47"/>
      <c r="H20" s="48"/>
      <c r="I20" s="48"/>
      <c r="J20" s="48"/>
      <c r="K20" s="48"/>
      <c r="L20" s="48"/>
      <c r="M20" s="47"/>
      <c r="N20" s="47"/>
      <c r="O20" s="48"/>
      <c r="P20" s="48"/>
      <c r="Q20" s="48"/>
      <c r="R20" s="48"/>
      <c r="S20" s="48"/>
      <c r="T20" s="47"/>
      <c r="U20" s="47"/>
      <c r="V20" s="48"/>
      <c r="W20" s="48"/>
      <c r="X20" s="48"/>
      <c r="Y20" s="48"/>
      <c r="Z20" s="48"/>
      <c r="AA20" s="47"/>
      <c r="AB20" s="47"/>
      <c r="AC20" s="48"/>
      <c r="AD20" s="48"/>
      <c r="AE20" s="43"/>
      <c r="AF20" s="48"/>
      <c r="AG20" s="48"/>
      <c r="AH20" s="25" t="s">
        <v>118</v>
      </c>
      <c r="AI20" s="30">
        <v>149</v>
      </c>
      <c r="AJ20" s="5">
        <v>2</v>
      </c>
      <c r="AK20" s="30" t="e" vm="1">
        <v>#VALUE!</v>
      </c>
      <c r="AL20" s="4"/>
    </row>
    <row r="21" spans="1:38" ht="19.25" customHeight="1">
      <c r="A21" s="42" t="s">
        <v>162</v>
      </c>
      <c r="B21" s="48" t="s">
        <v>161</v>
      </c>
      <c r="C21" s="48"/>
      <c r="D21" s="48"/>
      <c r="E21" s="48"/>
      <c r="F21" s="47"/>
      <c r="G21" s="47"/>
      <c r="H21" s="48"/>
      <c r="I21" s="48"/>
      <c r="J21" s="48"/>
      <c r="K21" s="48"/>
      <c r="L21" s="48"/>
      <c r="M21" s="47"/>
      <c r="N21" s="47"/>
      <c r="O21" s="48"/>
      <c r="P21" s="48"/>
      <c r="Q21" s="48"/>
      <c r="R21" s="48"/>
      <c r="S21" s="48"/>
      <c r="T21" s="47"/>
      <c r="U21" s="47"/>
      <c r="V21" s="48"/>
      <c r="W21" s="48"/>
      <c r="X21" s="48"/>
      <c r="Y21" s="48"/>
      <c r="Z21" s="48"/>
      <c r="AA21" s="47"/>
      <c r="AB21" s="47"/>
      <c r="AC21" s="48"/>
      <c r="AD21" s="48"/>
      <c r="AE21" s="44" t="s">
        <v>138</v>
      </c>
      <c r="AF21" s="48"/>
      <c r="AG21" s="48"/>
      <c r="AH21" s="25" t="s">
        <v>119</v>
      </c>
      <c r="AI21" s="30">
        <v>149</v>
      </c>
      <c r="AJ21" s="5">
        <v>2</v>
      </c>
      <c r="AK21" s="30" t="e" vm="1">
        <v>#VALUE!</v>
      </c>
      <c r="AL21" s="4"/>
    </row>
    <row r="22" spans="1:38" ht="19.25" customHeight="1">
      <c r="A22" s="42" t="s">
        <v>120</v>
      </c>
      <c r="B22" s="48" t="s">
        <v>161</v>
      </c>
      <c r="C22" s="48"/>
      <c r="D22" s="48"/>
      <c r="E22" s="48"/>
      <c r="F22" s="47"/>
      <c r="G22" s="47"/>
      <c r="H22" s="48"/>
      <c r="I22" s="48"/>
      <c r="J22" s="48"/>
      <c r="K22" s="48"/>
      <c r="L22" s="48"/>
      <c r="M22" s="47"/>
      <c r="N22" s="47"/>
      <c r="O22" s="48"/>
      <c r="P22" s="48"/>
      <c r="Q22" s="48"/>
      <c r="R22" s="48"/>
      <c r="S22" s="48"/>
      <c r="T22" s="47"/>
      <c r="U22" s="47"/>
      <c r="V22" s="48"/>
      <c r="W22" s="48"/>
      <c r="X22" s="48"/>
      <c r="Y22" s="48"/>
      <c r="Z22" s="48"/>
      <c r="AA22" s="47"/>
      <c r="AB22" s="47"/>
      <c r="AC22" s="48"/>
      <c r="AD22" s="48"/>
      <c r="AE22" s="43"/>
      <c r="AF22" s="48"/>
      <c r="AG22" s="48"/>
      <c r="AH22" s="25" t="s">
        <v>120</v>
      </c>
      <c r="AI22" s="30">
        <v>156.45000000000002</v>
      </c>
      <c r="AJ22" s="5">
        <v>2</v>
      </c>
      <c r="AK22" s="30" t="e" vm="1">
        <v>#VALUE!</v>
      </c>
      <c r="AL22" s="4"/>
    </row>
    <row r="23" spans="1:38" ht="19.25" customHeight="1">
      <c r="A23" s="42" t="s">
        <v>163</v>
      </c>
      <c r="B23" s="48" t="s">
        <v>161</v>
      </c>
      <c r="C23" s="48"/>
      <c r="D23" s="48"/>
      <c r="E23" s="48"/>
      <c r="F23" s="47"/>
      <c r="G23" s="47"/>
      <c r="H23" s="48"/>
      <c r="I23" s="48"/>
      <c r="J23" s="48"/>
      <c r="K23" s="48"/>
      <c r="L23" s="48"/>
      <c r="M23" s="47"/>
      <c r="N23" s="47"/>
      <c r="O23" s="48"/>
      <c r="P23" s="48"/>
      <c r="Q23" s="48"/>
      <c r="R23" s="48"/>
      <c r="S23" s="48"/>
      <c r="T23" s="47"/>
      <c r="U23" s="47"/>
      <c r="V23" s="48"/>
      <c r="W23" s="48"/>
      <c r="X23" s="48"/>
      <c r="Y23" s="48"/>
      <c r="Z23" s="48"/>
      <c r="AA23" s="47"/>
      <c r="AB23" s="47"/>
      <c r="AC23" s="48"/>
      <c r="AD23" s="48"/>
      <c r="AE23" s="43"/>
      <c r="AF23" s="48"/>
      <c r="AG23" s="48"/>
      <c r="AH23" s="25" t="s">
        <v>163</v>
      </c>
      <c r="AI23" s="30">
        <v>156.45000000000002</v>
      </c>
      <c r="AJ23" s="5">
        <v>2</v>
      </c>
      <c r="AK23" s="30" t="e" vm="1">
        <v>#VALUE!</v>
      </c>
      <c r="AL23" s="4"/>
    </row>
    <row r="24" spans="1:38" ht="19.25" customHeight="1">
      <c r="A24" s="42" t="s">
        <v>211</v>
      </c>
      <c r="B24" s="48" t="s">
        <v>161</v>
      </c>
      <c r="C24" s="48"/>
      <c r="D24" s="48"/>
      <c r="E24" s="48"/>
      <c r="F24" s="47"/>
      <c r="G24" s="47"/>
      <c r="H24" s="48"/>
      <c r="I24" s="48"/>
      <c r="J24" s="48"/>
      <c r="K24" s="48"/>
      <c r="L24" s="48"/>
      <c r="M24" s="47"/>
      <c r="N24" s="47"/>
      <c r="O24" s="48"/>
      <c r="P24" s="48"/>
      <c r="Q24" s="48"/>
      <c r="R24" s="48"/>
      <c r="S24" s="48"/>
      <c r="T24" s="47"/>
      <c r="U24" s="47"/>
      <c r="V24" s="48"/>
      <c r="W24" s="48"/>
      <c r="X24" s="44" t="s">
        <v>138</v>
      </c>
      <c r="Y24" s="48"/>
      <c r="Z24" s="48"/>
      <c r="AA24" s="47"/>
      <c r="AB24" s="47"/>
      <c r="AC24" s="48"/>
      <c r="AD24" s="48"/>
      <c r="AE24" s="43"/>
      <c r="AF24" s="48"/>
      <c r="AG24" s="48"/>
      <c r="AH24" s="5"/>
      <c r="AI24" s="5"/>
      <c r="AJ24" s="5"/>
      <c r="AK24" s="5"/>
      <c r="AL24" s="4"/>
    </row>
    <row r="25" spans="1:38" ht="19.25" customHeight="1">
      <c r="A25" s="42"/>
      <c r="B25" s="48"/>
      <c r="C25" s="48"/>
      <c r="D25" s="48"/>
      <c r="E25" s="48"/>
      <c r="F25" s="47"/>
      <c r="G25" s="47"/>
      <c r="H25" s="48"/>
      <c r="I25" s="48"/>
      <c r="J25" s="48"/>
      <c r="K25" s="48"/>
      <c r="L25" s="48"/>
      <c r="M25" s="47"/>
      <c r="N25" s="47"/>
      <c r="O25" s="48"/>
      <c r="P25" s="48"/>
      <c r="Q25" s="48"/>
      <c r="R25" s="48"/>
      <c r="S25" s="48"/>
      <c r="T25" s="47"/>
      <c r="U25" s="47"/>
      <c r="V25" s="48"/>
      <c r="W25" s="48"/>
      <c r="X25" s="48"/>
      <c r="Y25" s="48"/>
      <c r="Z25" s="48"/>
      <c r="AA25" s="47"/>
      <c r="AB25" s="47"/>
      <c r="AC25" s="48"/>
      <c r="AD25" s="48"/>
      <c r="AE25" s="43"/>
      <c r="AF25" s="48"/>
      <c r="AG25" s="48"/>
      <c r="AH25" s="25"/>
      <c r="AI25" s="5">
        <v>0</v>
      </c>
      <c r="AJ25" s="5">
        <v>1</v>
      </c>
      <c r="AK25" s="5"/>
      <c r="AL25" s="4"/>
    </row>
    <row r="26" spans="1:38" ht="19.25" customHeight="1">
      <c r="A26" s="42" t="s">
        <v>164</v>
      </c>
      <c r="B26" s="48" t="s">
        <v>141</v>
      </c>
      <c r="C26" s="48"/>
      <c r="D26" s="48"/>
      <c r="E26" s="48"/>
      <c r="F26" s="47"/>
      <c r="G26" s="47"/>
      <c r="H26" s="48"/>
      <c r="I26" s="48"/>
      <c r="J26" s="48"/>
      <c r="K26" s="48"/>
      <c r="L26" s="48"/>
      <c r="M26" s="47"/>
      <c r="N26" s="47"/>
      <c r="O26" s="48"/>
      <c r="P26" s="48"/>
      <c r="Q26" s="48"/>
      <c r="R26" s="48"/>
      <c r="S26" s="48"/>
      <c r="T26" s="47"/>
      <c r="U26" s="47"/>
      <c r="V26" s="48"/>
      <c r="W26" s="48"/>
      <c r="X26" s="48"/>
      <c r="Y26" s="48"/>
      <c r="Z26" s="48"/>
      <c r="AA26" s="47"/>
      <c r="AB26" s="47"/>
      <c r="AC26" s="48"/>
      <c r="AD26" s="48"/>
      <c r="AE26" s="43"/>
      <c r="AF26" s="48"/>
      <c r="AG26" s="48"/>
      <c r="AH26" s="25" t="s">
        <v>164</v>
      </c>
      <c r="AI26" s="5">
        <v>0</v>
      </c>
      <c r="AJ26" s="5">
        <v>1</v>
      </c>
      <c r="AK26" s="5"/>
      <c r="AL26" s="4"/>
    </row>
    <row r="27" spans="1:38" ht="19.25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31" t="s">
        <v>165</v>
      </c>
      <c r="AI27" s="5" t="e" vm="2">
        <v>#VALUE!</v>
      </c>
      <c r="AJ27" s="4"/>
      <c r="AK27" s="4"/>
      <c r="AL27" s="4"/>
    </row>
    <row r="28" spans="1:38" ht="19.25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31" t="s">
        <v>166</v>
      </c>
      <c r="AI28" s="5" t="e" vm="2">
        <v>#VALUE!</v>
      </c>
      <c r="AJ28" s="4"/>
      <c r="AK28" s="5" t="e" vm="2">
        <v>#VALUE!</v>
      </c>
      <c r="AL28" s="4"/>
    </row>
    <row r="29" spans="1:38" ht="19.25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31" t="s">
        <v>161</v>
      </c>
      <c r="AI29" s="5" t="e" vm="2">
        <v>#VALUE!</v>
      </c>
      <c r="AJ29" s="4"/>
      <c r="AK29" s="5" t="e" vm="2">
        <v>#VALUE!</v>
      </c>
      <c r="AL29" s="4"/>
    </row>
    <row r="30" spans="1:38" ht="19.25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31" t="s">
        <v>167</v>
      </c>
      <c r="AI30" s="5" t="e" vm="2">
        <v>#VALUE!</v>
      </c>
      <c r="AJ30" s="4"/>
      <c r="AK30" s="5" t="e" vm="2">
        <v>#VALUE!</v>
      </c>
      <c r="AL30" s="4"/>
    </row>
    <row r="31" spans="1:38" ht="19.25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5" t="s">
        <v>168</v>
      </c>
      <c r="AK31" s="5" t="e" vm="2">
        <v>#VALUE!</v>
      </c>
      <c r="AL31" s="4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B6" sqref="B6"/>
      <selection pane="topRight" activeCell="B6" sqref="B6"/>
      <selection pane="bottomLeft" activeCell="B6" sqref="B6"/>
      <selection pane="bottomRight" activeCell="B6" sqref="B6"/>
    </sheetView>
  </sheetViews>
  <sheetFormatPr defaultRowHeight="19.25" customHeight="1"/>
  <cols>
    <col min="1" max="1" bestFit="true" customWidth="true" width="12.4140625"/>
    <col min="2" max="2" bestFit="true" customWidth="true" width="6.83203125"/>
    <col min="3" max="33" customWidth="true" width="3.6640625"/>
    <col min="34" max="34" bestFit="true" customWidth="true" width="12.5"/>
    <col min="35" max="35" bestFit="true" customWidth="true" width="12.33203125"/>
    <col min="36" max="36" bestFit="true" customWidth="true" width="10.4140625"/>
    <col min="37" max="37" bestFit="true" customWidth="true" width="7.58203125"/>
    <col min="38" max="38" customWidth="true" width="3.33203125"/>
  </cols>
  <sheetData>
    <row r="1" spans="1:38" ht="19.25" customHeight="1" thickBot="1">
      <c r="A1" s="49">
        <v>46143</v>
      </c>
      <c r="AB1" s="50" t="s">
        <v>136</v>
      </c>
    </row>
    <row r="2" spans="1:38" ht="19.25" customHeight="1" thickBot="1">
      <c r="A2" s="51">
        <f>YEAR(A1)</f>
        <v>2026</v>
      </c>
      <c r="B2" s="52">
        <f>MONTH(A1)</f>
        <v>5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 s="0">
        <v>143</v>
      </c>
      <c r="V2" s="54" t="s">
        <v>144</v>
      </c>
      <c r="W2" s="55"/>
      <c r="X2" s="56" t="s">
        <v>145</v>
      </c>
      <c r="Y2" s="55"/>
      <c r="Z2" s="57"/>
      <c r="AB2" s="50" t="s">
        <v>146</v>
      </c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7">
        <f>DATEVALUE(A2&amp;"/"&amp;B2&amp;"/1")</f>
        <v>46143</v>
      </c>
      <c r="D4" s="77">
        <f>C4+1</f>
        <v>46144</v>
      </c>
      <c r="E4" s="45">
        <f t="shared" ref="E4:T5" si="0">D4+1</f>
        <v>46145</v>
      </c>
      <c r="F4" s="66">
        <f t="shared" si="0"/>
        <v>46146</v>
      </c>
      <c r="G4" s="66">
        <f t="shared" si="0"/>
        <v>46147</v>
      </c>
      <c r="H4" s="66">
        <f t="shared" si="0"/>
        <v>46148</v>
      </c>
      <c r="I4" s="77">
        <f t="shared" si="0"/>
        <v>46149</v>
      </c>
      <c r="J4" s="77">
        <f t="shared" si="0"/>
        <v>46150</v>
      </c>
      <c r="K4" s="45">
        <f t="shared" si="0"/>
        <v>46151</v>
      </c>
      <c r="L4" s="45">
        <f t="shared" si="0"/>
        <v>46152</v>
      </c>
      <c r="M4" s="77">
        <f t="shared" si="0"/>
        <v>46153</v>
      </c>
      <c r="N4" s="77">
        <f t="shared" si="0"/>
        <v>46154</v>
      </c>
      <c r="O4" s="77">
        <f t="shared" si="0"/>
        <v>46155</v>
      </c>
      <c r="P4" s="77">
        <f t="shared" si="0"/>
        <v>46156</v>
      </c>
      <c r="Q4" s="77">
        <f t="shared" si="0"/>
        <v>46157</v>
      </c>
      <c r="R4" s="45">
        <f t="shared" si="0"/>
        <v>46158</v>
      </c>
      <c r="S4" s="45">
        <f t="shared" si="0"/>
        <v>46159</v>
      </c>
      <c r="T4" s="77">
        <f t="shared" si="0"/>
        <v>46160</v>
      </c>
      <c r="U4" s="77">
        <f t="shared" ref="U4:AG5" si="1">T4+1</f>
        <v>46161</v>
      </c>
      <c r="V4" s="77">
        <f t="shared" si="1"/>
        <v>46162</v>
      </c>
      <c r="W4" s="77">
        <f t="shared" si="1"/>
        <v>46163</v>
      </c>
      <c r="X4" s="77">
        <f t="shared" si="1"/>
        <v>46164</v>
      </c>
      <c r="Y4" s="45">
        <f t="shared" si="1"/>
        <v>46165</v>
      </c>
      <c r="Z4" s="45">
        <f t="shared" si="1"/>
        <v>46166</v>
      </c>
      <c r="AA4" s="77">
        <f t="shared" si="1"/>
        <v>46167</v>
      </c>
      <c r="AB4" s="77">
        <f t="shared" si="1"/>
        <v>46168</v>
      </c>
      <c r="AC4" s="77">
        <f t="shared" si="1"/>
        <v>46169</v>
      </c>
      <c r="AD4" s="77">
        <f t="shared" si="1"/>
        <v>46170</v>
      </c>
      <c r="AE4" s="77">
        <f t="shared" si="1"/>
        <v>46171</v>
      </c>
      <c r="AF4" s="45">
        <f t="shared" si="1"/>
        <v>46172</v>
      </c>
      <c r="AG4" s="45">
        <f t="shared" si="1"/>
        <v>46173</v>
      </c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8">
        <f>C4</f>
        <v>46143</v>
      </c>
      <c r="D5" s="78">
        <f>C5+1</f>
        <v>46144</v>
      </c>
      <c r="E5" s="46">
        <f t="shared" si="0"/>
        <v>46145</v>
      </c>
      <c r="F5" s="67">
        <f t="shared" si="0"/>
        <v>46146</v>
      </c>
      <c r="G5" s="67">
        <f t="shared" si="0"/>
        <v>46147</v>
      </c>
      <c r="H5" s="67">
        <f t="shared" si="0"/>
        <v>46148</v>
      </c>
      <c r="I5" s="78">
        <f t="shared" si="0"/>
        <v>46149</v>
      </c>
      <c r="J5" s="78">
        <f t="shared" si="0"/>
        <v>46150</v>
      </c>
      <c r="K5" s="46">
        <f t="shared" si="0"/>
        <v>46151</v>
      </c>
      <c r="L5" s="46">
        <f t="shared" si="0"/>
        <v>46152</v>
      </c>
      <c r="M5" s="78">
        <f t="shared" si="0"/>
        <v>46153</v>
      </c>
      <c r="N5" s="78">
        <f t="shared" si="0"/>
        <v>46154</v>
      </c>
      <c r="O5" s="78">
        <f t="shared" si="0"/>
        <v>46155</v>
      </c>
      <c r="P5" s="78">
        <f t="shared" si="0"/>
        <v>46156</v>
      </c>
      <c r="Q5" s="78">
        <f t="shared" si="0"/>
        <v>46157</v>
      </c>
      <c r="R5" s="46">
        <f t="shared" si="0"/>
        <v>46158</v>
      </c>
      <c r="S5" s="46">
        <f t="shared" si="0"/>
        <v>46159</v>
      </c>
      <c r="T5" s="78">
        <f t="shared" si="0"/>
        <v>46160</v>
      </c>
      <c r="U5" s="78">
        <f t="shared" si="1"/>
        <v>46161</v>
      </c>
      <c r="V5" s="78">
        <f t="shared" si="1"/>
        <v>46162</v>
      </c>
      <c r="W5" s="78">
        <f t="shared" si="1"/>
        <v>46163</v>
      </c>
      <c r="X5" s="78">
        <f t="shared" si="1"/>
        <v>46164</v>
      </c>
      <c r="Y5" s="46">
        <f t="shared" si="1"/>
        <v>46165</v>
      </c>
      <c r="Z5" s="46">
        <f t="shared" si="1"/>
        <v>46166</v>
      </c>
      <c r="AA5" s="78">
        <f t="shared" si="1"/>
        <v>46167</v>
      </c>
      <c r="AB5" s="78">
        <f t="shared" si="1"/>
        <v>46168</v>
      </c>
      <c r="AC5" s="78">
        <f t="shared" si="1"/>
        <v>46169</v>
      </c>
      <c r="AD5" s="78">
        <f t="shared" si="1"/>
        <v>46170</v>
      </c>
      <c r="AE5" s="78">
        <f t="shared" si="1"/>
        <v>46171</v>
      </c>
      <c r="AF5" s="46">
        <f t="shared" si="1"/>
        <v>46172</v>
      </c>
      <c r="AG5" s="46">
        <f t="shared" si="1"/>
        <v>46173</v>
      </c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48"/>
      <c r="D6" s="48" t="s">
        <v>138</v>
      </c>
      <c r="E6" s="47"/>
      <c r="F6" s="68"/>
      <c r="G6" s="68"/>
      <c r="H6" s="68"/>
      <c r="I6" s="48"/>
      <c r="J6" s="48"/>
      <c r="K6" s="47"/>
      <c r="L6" s="47"/>
      <c r="M6" s="48"/>
      <c r="N6" s="48"/>
      <c r="O6" s="48"/>
      <c r="P6" s="48"/>
      <c r="Q6" s="48"/>
      <c r="R6" s="47"/>
      <c r="S6" s="47"/>
      <c r="T6" s="48"/>
      <c r="U6" s="48"/>
      <c r="V6" s="48"/>
      <c r="W6" s="48"/>
      <c r="X6" s="48"/>
      <c r="Y6" s="47"/>
      <c r="Z6" s="47"/>
      <c r="AA6" s="48"/>
      <c r="AB6" s="48"/>
      <c r="AC6" s="48"/>
      <c r="AD6" s="48"/>
      <c r="AE6" s="43"/>
      <c r="AF6" s="47"/>
      <c r="AG6" s="47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0">
        <v>0</v>
      </c>
      <c r="AK6" s="40"/>
    </row>
    <row r="7" spans="1:38" ht="19.25" customHeight="1">
      <c r="A7" s="42"/>
      <c r="B7" s="48"/>
      <c r="C7" s="48"/>
      <c r="D7" s="48"/>
      <c r="E7" s="47"/>
      <c r="F7" s="68"/>
      <c r="G7" s="68"/>
      <c r="H7" s="68"/>
      <c r="I7" s="48"/>
      <c r="J7" s="48"/>
      <c r="K7" s="47"/>
      <c r="L7" s="47"/>
      <c r="M7" s="48"/>
      <c r="N7" s="48"/>
      <c r="O7" s="48"/>
      <c r="P7" s="48"/>
      <c r="Q7" s="48"/>
      <c r="R7" s="47"/>
      <c r="S7" s="47"/>
      <c r="T7" s="48"/>
      <c r="U7" s="48"/>
      <c r="V7" s="48"/>
      <c r="W7" s="48"/>
      <c r="X7" s="48"/>
      <c r="Y7" s="47"/>
      <c r="Z7" s="47"/>
      <c r="AA7" s="48"/>
      <c r="AB7" s="48"/>
      <c r="AC7" s="48"/>
      <c r="AD7" s="48"/>
      <c r="AE7" s="43"/>
      <c r="AF7" s="47"/>
      <c r="AG7" s="47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48"/>
      <c r="D8" s="48" t="s">
        <v>138</v>
      </c>
      <c r="E8" s="47"/>
      <c r="F8" s="68"/>
      <c r="G8" s="68"/>
      <c r="H8" s="68"/>
      <c r="I8" s="48"/>
      <c r="J8" s="48"/>
      <c r="K8" s="47"/>
      <c r="L8" s="47"/>
      <c r="M8" s="48"/>
      <c r="N8" s="48"/>
      <c r="O8" s="48"/>
      <c r="P8" s="48"/>
      <c r="Q8" s="48"/>
      <c r="R8" s="47"/>
      <c r="S8" s="47"/>
      <c r="T8" s="48"/>
      <c r="U8" s="48"/>
      <c r="V8" s="48"/>
      <c r="W8" s="48"/>
      <c r="X8" s="48"/>
      <c r="Y8" s="47"/>
      <c r="Z8" s="47"/>
      <c r="AA8" s="48"/>
      <c r="AB8" s="48"/>
      <c r="AC8" s="48"/>
      <c r="AD8" s="48"/>
      <c r="AE8" s="43"/>
      <c r="AF8" s="47"/>
      <c r="AG8" s="47"/>
      <c r="AH8" s="42" t="s">
        <v>114</v>
      </c>
      <c r="AI8" s="64">
        <f t="shared" si="2"/>
        <v>149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48"/>
      <c r="D9" s="48" t="s">
        <v>138</v>
      </c>
      <c r="E9" s="47"/>
      <c r="F9" s="68"/>
      <c r="G9" s="68"/>
      <c r="H9" s="68"/>
      <c r="I9" s="48"/>
      <c r="J9" s="48"/>
      <c r="K9" s="47"/>
      <c r="L9" s="47"/>
      <c r="M9" s="48"/>
      <c r="N9" s="48"/>
      <c r="O9" s="48"/>
      <c r="P9" s="48"/>
      <c r="Q9" s="48"/>
      <c r="R9" s="47"/>
      <c r="S9" s="47"/>
      <c r="T9" s="48"/>
      <c r="U9" s="48"/>
      <c r="V9" s="48"/>
      <c r="W9" s="48"/>
      <c r="X9" s="48"/>
      <c r="Y9" s="47"/>
      <c r="Z9" s="47"/>
      <c r="AA9" s="48"/>
      <c r="AB9" s="48"/>
      <c r="AC9" s="48"/>
      <c r="AD9" s="48"/>
      <c r="AE9" s="43"/>
      <c r="AF9" s="47"/>
      <c r="AG9" s="47"/>
      <c r="AH9" s="42" t="s">
        <v>116</v>
      </c>
      <c r="AI9" s="64">
        <f t="shared" si="2"/>
        <v>149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48"/>
      <c r="D10" s="48"/>
      <c r="E10" s="47"/>
      <c r="F10" s="68"/>
      <c r="G10" s="68"/>
      <c r="H10" s="68"/>
      <c r="I10" s="48"/>
      <c r="J10" s="48"/>
      <c r="K10" s="47"/>
      <c r="L10" s="47"/>
      <c r="M10" s="48"/>
      <c r="N10" s="48"/>
      <c r="O10" s="48"/>
      <c r="P10" s="48"/>
      <c r="Q10" s="48"/>
      <c r="R10" s="47"/>
      <c r="S10" s="47"/>
      <c r="T10" s="48"/>
      <c r="U10" s="48"/>
      <c r="V10" s="48"/>
      <c r="W10" s="48"/>
      <c r="X10" s="48"/>
      <c r="Y10" s="47"/>
      <c r="Z10" s="47"/>
      <c r="AA10" s="48"/>
      <c r="AB10" s="48"/>
      <c r="AC10" s="48"/>
      <c r="AD10" s="48"/>
      <c r="AE10" s="43"/>
      <c r="AF10" s="47"/>
      <c r="AG10" s="47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48"/>
      <c r="D11" s="48" t="s">
        <v>138</v>
      </c>
      <c r="E11" s="47"/>
      <c r="F11" s="68"/>
      <c r="G11" s="68"/>
      <c r="H11" s="68"/>
      <c r="I11" s="48"/>
      <c r="J11" s="48"/>
      <c r="K11" s="47"/>
      <c r="L11" s="47"/>
      <c r="M11" s="48"/>
      <c r="N11" s="48"/>
      <c r="O11" s="44" t="s">
        <v>138</v>
      </c>
      <c r="P11" s="48"/>
      <c r="Q11" s="48"/>
      <c r="R11" s="47"/>
      <c r="S11" s="47"/>
      <c r="T11" s="48"/>
      <c r="U11" s="48"/>
      <c r="V11" s="48"/>
      <c r="W11" s="48"/>
      <c r="X11" s="48"/>
      <c r="Y11" s="47"/>
      <c r="Z11" s="47"/>
      <c r="AA11" s="48"/>
      <c r="AB11" s="48"/>
      <c r="AC11" s="48"/>
      <c r="AD11" s="48"/>
      <c r="AE11" s="43"/>
      <c r="AF11" s="47"/>
      <c r="AG11" s="47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48"/>
      <c r="D12" s="48" t="s">
        <v>138</v>
      </c>
      <c r="E12" s="47"/>
      <c r="F12" s="68"/>
      <c r="G12" s="68"/>
      <c r="H12" s="68"/>
      <c r="I12" s="48"/>
      <c r="J12" s="48"/>
      <c r="K12" s="47"/>
      <c r="L12" s="47"/>
      <c r="M12" s="48"/>
      <c r="N12" s="48"/>
      <c r="O12" s="48"/>
      <c r="P12" s="48"/>
      <c r="Q12" s="48"/>
      <c r="R12" s="47"/>
      <c r="S12" s="47"/>
      <c r="T12" s="44" t="s">
        <v>138</v>
      </c>
      <c r="U12" s="48"/>
      <c r="V12" s="48"/>
      <c r="W12" s="48"/>
      <c r="X12" s="48"/>
      <c r="Y12" s="47"/>
      <c r="Z12" s="47"/>
      <c r="AA12" s="48"/>
      <c r="AB12" s="48"/>
      <c r="AC12" s="48"/>
      <c r="AD12" s="48"/>
      <c r="AE12" s="43"/>
      <c r="AF12" s="47"/>
      <c r="AG12" s="47"/>
      <c r="AH12" s="42" t="s">
        <v>108</v>
      </c>
      <c r="AI12" s="64">
        <f t="shared" si="3"/>
        <v>141.55000000000001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48"/>
      <c r="D13" s="48" t="s">
        <v>138</v>
      </c>
      <c r="E13" s="47"/>
      <c r="F13" s="68"/>
      <c r="G13" s="68"/>
      <c r="H13" s="68"/>
      <c r="I13" s="48"/>
      <c r="J13" s="48"/>
      <c r="K13" s="47"/>
      <c r="L13" s="47"/>
      <c r="M13" s="48"/>
      <c r="N13" s="48"/>
      <c r="O13" s="48"/>
      <c r="P13" s="48"/>
      <c r="Q13" s="48"/>
      <c r="R13" s="47"/>
      <c r="S13" s="47"/>
      <c r="T13" s="48"/>
      <c r="U13" s="48"/>
      <c r="V13" s="48"/>
      <c r="W13" s="44" t="s">
        <v>138</v>
      </c>
      <c r="X13" s="48"/>
      <c r="Y13" s="47"/>
      <c r="Z13" s="47"/>
      <c r="AA13" s="48"/>
      <c r="AB13" s="48"/>
      <c r="AC13" s="48"/>
      <c r="AD13" s="48"/>
      <c r="AE13" s="43"/>
      <c r="AF13" s="47"/>
      <c r="AG13" s="47"/>
      <c r="AH13" s="42" t="s">
        <v>110</v>
      </c>
      <c r="AI13" s="64">
        <f t="shared" si="3"/>
        <v>141.55000000000001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48"/>
      <c r="D14" s="48"/>
      <c r="E14" s="47"/>
      <c r="F14" s="68"/>
      <c r="G14" s="68"/>
      <c r="H14" s="68"/>
      <c r="I14" s="48"/>
      <c r="J14" s="48"/>
      <c r="K14" s="47"/>
      <c r="L14" s="47"/>
      <c r="M14" s="48"/>
      <c r="N14" s="48"/>
      <c r="O14" s="48"/>
      <c r="P14" s="48"/>
      <c r="Q14" s="48"/>
      <c r="R14" s="47"/>
      <c r="S14" s="47"/>
      <c r="T14" s="48"/>
      <c r="U14" s="48"/>
      <c r="V14" s="48"/>
      <c r="W14" s="48"/>
      <c r="X14" s="48"/>
      <c r="Y14" s="47"/>
      <c r="Z14" s="47"/>
      <c r="AA14" s="48"/>
      <c r="AB14" s="48"/>
      <c r="AC14" s="48"/>
      <c r="AD14" s="48"/>
      <c r="AE14" s="43"/>
      <c r="AF14" s="47"/>
      <c r="AG14" s="47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48"/>
      <c r="D15" s="48" t="s">
        <v>138</v>
      </c>
      <c r="E15" s="47"/>
      <c r="F15" s="68"/>
      <c r="G15" s="68"/>
      <c r="H15" s="68"/>
      <c r="I15" s="44" t="s">
        <v>138</v>
      </c>
      <c r="J15" s="44" t="s">
        <v>138</v>
      </c>
      <c r="K15" s="47"/>
      <c r="L15" s="47"/>
      <c r="M15" s="48"/>
      <c r="N15" s="48"/>
      <c r="O15" s="48"/>
      <c r="P15" s="48"/>
      <c r="Q15" s="48"/>
      <c r="R15" s="47"/>
      <c r="S15" s="47"/>
      <c r="T15" s="48"/>
      <c r="U15" s="48"/>
      <c r="V15" s="48"/>
      <c r="W15" s="48"/>
      <c r="X15" s="48"/>
      <c r="Y15" s="47"/>
      <c r="Z15" s="47"/>
      <c r="AA15" s="48"/>
      <c r="AB15" s="48"/>
      <c r="AC15" s="48"/>
      <c r="AD15" s="48"/>
      <c r="AE15" s="43"/>
      <c r="AF15" s="47"/>
      <c r="AG15" s="47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48"/>
      <c r="D16" s="48"/>
      <c r="E16" s="47"/>
      <c r="F16" s="68"/>
      <c r="G16" s="68"/>
      <c r="H16" s="68"/>
      <c r="I16" s="48"/>
      <c r="J16" s="48"/>
      <c r="K16" s="47"/>
      <c r="L16" s="47"/>
      <c r="M16" s="48"/>
      <c r="N16" s="48"/>
      <c r="O16" s="48"/>
      <c r="P16" s="48"/>
      <c r="Q16" s="48"/>
      <c r="R16" s="47"/>
      <c r="S16" s="47"/>
      <c r="T16" s="48"/>
      <c r="U16" s="48"/>
      <c r="V16" s="48"/>
      <c r="W16" s="48"/>
      <c r="X16" s="48"/>
      <c r="Y16" s="47"/>
      <c r="Z16" s="47"/>
      <c r="AA16" s="48"/>
      <c r="AB16" s="48"/>
      <c r="AC16" s="44" t="s">
        <v>138</v>
      </c>
      <c r="AD16" s="48"/>
      <c r="AE16" s="43"/>
      <c r="AF16" s="47"/>
      <c r="AG16" s="47"/>
      <c r="AH16" s="42" t="s">
        <v>158</v>
      </c>
      <c r="AI16" s="64">
        <f t="shared" si="4"/>
        <v>149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44" t="s">
        <v>154</v>
      </c>
      <c r="D17" s="48" t="s">
        <v>138</v>
      </c>
      <c r="E17" s="47"/>
      <c r="F17" s="68"/>
      <c r="G17" s="68"/>
      <c r="H17" s="68"/>
      <c r="I17" s="48"/>
      <c r="J17" s="48"/>
      <c r="K17" s="47"/>
      <c r="L17" s="47"/>
      <c r="M17" s="48"/>
      <c r="N17" s="48"/>
      <c r="O17" s="48"/>
      <c r="P17" s="48"/>
      <c r="Q17" s="48"/>
      <c r="R17" s="47"/>
      <c r="S17" s="47"/>
      <c r="T17" s="48"/>
      <c r="U17" s="48"/>
      <c r="V17" s="48"/>
      <c r="W17" s="48"/>
      <c r="X17" s="44" t="s">
        <v>138</v>
      </c>
      <c r="Y17" s="47"/>
      <c r="Z17" s="47"/>
      <c r="AA17" s="48"/>
      <c r="AB17" s="48"/>
      <c r="AC17" s="48"/>
      <c r="AD17" s="48"/>
      <c r="AE17" s="43"/>
      <c r="AF17" s="47"/>
      <c r="AG17" s="47"/>
      <c r="AH17" s="42" t="s">
        <v>113</v>
      </c>
      <c r="AI17" s="64">
        <f t="shared" si="4"/>
        <v>137.4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48"/>
      <c r="D18" s="48"/>
      <c r="E18" s="47"/>
      <c r="F18" s="68"/>
      <c r="G18" s="68"/>
      <c r="H18" s="68"/>
      <c r="I18" s="48"/>
      <c r="J18" s="48"/>
      <c r="K18" s="47"/>
      <c r="L18" s="47"/>
      <c r="M18" s="48"/>
      <c r="N18" s="48"/>
      <c r="O18" s="48"/>
      <c r="P18" s="48"/>
      <c r="Q18" s="48"/>
      <c r="R18" s="47"/>
      <c r="S18" s="47"/>
      <c r="T18" s="48"/>
      <c r="U18" s="48"/>
      <c r="V18" s="48"/>
      <c r="W18" s="48"/>
      <c r="X18" s="48"/>
      <c r="Y18" s="47"/>
      <c r="Z18" s="47"/>
      <c r="AA18" s="48"/>
      <c r="AB18" s="48"/>
      <c r="AC18" s="48"/>
      <c r="AD18" s="48"/>
      <c r="AE18" s="43"/>
      <c r="AF18" s="47"/>
      <c r="AG18" s="47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48" t="s">
        <v>138</v>
      </c>
      <c r="D19" s="48" t="s">
        <v>138</v>
      </c>
      <c r="E19" s="47"/>
      <c r="F19" s="68"/>
      <c r="G19" s="68"/>
      <c r="H19" s="68"/>
      <c r="I19" s="48"/>
      <c r="J19" s="48"/>
      <c r="K19" s="47"/>
      <c r="L19" s="47"/>
      <c r="M19" s="48"/>
      <c r="N19" s="48"/>
      <c r="O19" s="48"/>
      <c r="P19" s="48"/>
      <c r="Q19" s="48"/>
      <c r="R19" s="47"/>
      <c r="S19" s="47"/>
      <c r="T19" s="48"/>
      <c r="U19" s="48"/>
      <c r="V19" s="48"/>
      <c r="W19" s="48"/>
      <c r="X19" s="48"/>
      <c r="Y19" s="47"/>
      <c r="Z19" s="47"/>
      <c r="AA19" s="48"/>
      <c r="AB19" s="48"/>
      <c r="AC19" s="48"/>
      <c r="AD19" s="48"/>
      <c r="AE19" s="43"/>
      <c r="AF19" s="47"/>
      <c r="AG19" s="47"/>
      <c r="AH19" s="42" t="s">
        <v>160</v>
      </c>
      <c r="AI19" s="64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48"/>
      <c r="D20" s="48" t="s">
        <v>138</v>
      </c>
      <c r="E20" s="47"/>
      <c r="F20" s="68"/>
      <c r="G20" s="68"/>
      <c r="H20" s="68"/>
      <c r="I20" s="48"/>
      <c r="J20" s="48"/>
      <c r="K20" s="47"/>
      <c r="L20" s="47"/>
      <c r="M20" s="48"/>
      <c r="N20" s="48"/>
      <c r="O20" s="48"/>
      <c r="P20" s="44" t="s">
        <v>138</v>
      </c>
      <c r="Q20" s="48"/>
      <c r="R20" s="47"/>
      <c r="S20" s="47"/>
      <c r="T20" s="48"/>
      <c r="U20" s="48"/>
      <c r="V20" s="48"/>
      <c r="W20" s="48"/>
      <c r="X20" s="48"/>
      <c r="Y20" s="47"/>
      <c r="Z20" s="47"/>
      <c r="AA20" s="48"/>
      <c r="AB20" s="48"/>
      <c r="AC20" s="48"/>
      <c r="AD20" s="48"/>
      <c r="AE20" s="43"/>
      <c r="AF20" s="47"/>
      <c r="AG20" s="47"/>
      <c r="AH20" s="42" t="s">
        <v>118</v>
      </c>
      <c r="AI20" s="64">
        <f t="shared" si="5"/>
        <v>141.55000000000001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48"/>
      <c r="D21" s="48" t="s">
        <v>138</v>
      </c>
      <c r="E21" s="47"/>
      <c r="F21" s="68"/>
      <c r="G21" s="68"/>
      <c r="H21" s="68"/>
      <c r="I21" s="48"/>
      <c r="J21" s="48"/>
      <c r="K21" s="47"/>
      <c r="L21" s="47"/>
      <c r="M21" s="48"/>
      <c r="N21" s="48"/>
      <c r="O21" s="48"/>
      <c r="P21" s="48"/>
      <c r="Q21" s="44" t="s">
        <v>138</v>
      </c>
      <c r="R21" s="47"/>
      <c r="S21" s="47"/>
      <c r="T21" s="48"/>
      <c r="U21" s="48"/>
      <c r="V21" s="48"/>
      <c r="W21" s="48"/>
      <c r="X21" s="48"/>
      <c r="Y21" s="47"/>
      <c r="Z21" s="47"/>
      <c r="AA21" s="48"/>
      <c r="AB21" s="48"/>
      <c r="AC21" s="48"/>
      <c r="AD21" s="48"/>
      <c r="AE21" s="43"/>
      <c r="AF21" s="47"/>
      <c r="AG21" s="47"/>
      <c r="AH21" s="42" t="s">
        <v>119</v>
      </c>
      <c r="AI21" s="64">
        <f t="shared" si="5"/>
        <v>141.55000000000001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48"/>
      <c r="D22" s="48" t="s">
        <v>138</v>
      </c>
      <c r="E22" s="47"/>
      <c r="F22" s="68"/>
      <c r="G22" s="68"/>
      <c r="H22" s="68"/>
      <c r="I22" s="48"/>
      <c r="J22" s="48"/>
      <c r="K22" s="47"/>
      <c r="L22" s="47"/>
      <c r="M22" s="44" t="s">
        <v>138</v>
      </c>
      <c r="N22" s="48"/>
      <c r="O22" s="48"/>
      <c r="P22" s="48"/>
      <c r="Q22" s="48"/>
      <c r="R22" s="47"/>
      <c r="S22" s="47"/>
      <c r="T22" s="48"/>
      <c r="U22" s="48"/>
      <c r="V22" s="48"/>
      <c r="W22" s="44" t="s">
        <v>138</v>
      </c>
      <c r="X22" s="48"/>
      <c r="Y22" s="47"/>
      <c r="Z22" s="47"/>
      <c r="AA22" s="71" t="s">
        <v>232</v>
      </c>
      <c r="AB22" s="48"/>
      <c r="AC22" s="48"/>
      <c r="AD22" s="48"/>
      <c r="AE22" s="43"/>
      <c r="AF22" s="47"/>
      <c r="AG22" s="47"/>
      <c r="AH22" s="42" t="s">
        <v>120</v>
      </c>
      <c r="AI22" s="64">
        <f t="shared" si="5"/>
        <v>129.95000000000002</v>
      </c>
      <c r="AJ22" s="40">
        <v>2</v>
      </c>
      <c r="AK22" s="64" t="e" vm="1">
        <v>#VALUE!</v>
      </c>
    </row>
    <row r="23" spans="1:37" ht="19.25" customHeight="1">
      <c r="A23" s="42" t="s">
        <v>163</v>
      </c>
      <c r="B23" s="48" t="s">
        <v>161</v>
      </c>
      <c r="C23" s="48"/>
      <c r="D23" s="48" t="s">
        <v>138</v>
      </c>
      <c r="E23" s="47"/>
      <c r="F23" s="68"/>
      <c r="G23" s="68"/>
      <c r="H23" s="68"/>
      <c r="I23" s="48"/>
      <c r="J23" s="48"/>
      <c r="K23" s="47"/>
      <c r="L23" s="47"/>
      <c r="M23" s="48"/>
      <c r="N23" s="48"/>
      <c r="O23" s="48"/>
      <c r="P23" s="48"/>
      <c r="Q23" s="48"/>
      <c r="R23" s="47"/>
      <c r="S23" s="47"/>
      <c r="T23" s="48"/>
      <c r="U23" s="48"/>
      <c r="V23" s="48"/>
      <c r="W23" s="48"/>
      <c r="X23" s="48"/>
      <c r="Y23" s="47"/>
      <c r="Z23" s="47"/>
      <c r="AA23" s="48"/>
      <c r="AB23" s="48"/>
      <c r="AC23" s="48"/>
      <c r="AD23" s="48"/>
      <c r="AE23" s="43"/>
      <c r="AF23" s="47"/>
      <c r="AG23" s="47"/>
      <c r="AH23" s="42" t="s">
        <v>163</v>
      </c>
      <c r="AI23" s="64">
        <f t="shared" si="5"/>
        <v>149</v>
      </c>
      <c r="AJ23" s="40">
        <v>2</v>
      </c>
      <c r="AK23" s="64" t="e" vm="1">
        <v>#VALUE!</v>
      </c>
    </row>
    <row r="24" spans="1:37" ht="19.25" customHeight="1">
      <c r="A24" s="42" t="s">
        <v>211</v>
      </c>
      <c r="B24" s="48" t="s">
        <v>161</v>
      </c>
      <c r="C24" s="48"/>
      <c r="D24" s="48" t="s">
        <v>138</v>
      </c>
      <c r="E24" s="47"/>
      <c r="F24" s="68"/>
      <c r="G24" s="68"/>
      <c r="H24" s="68"/>
      <c r="I24" s="48"/>
      <c r="J24" s="48"/>
      <c r="K24" s="47"/>
      <c r="L24" s="47"/>
      <c r="M24" s="48"/>
      <c r="N24" s="48"/>
      <c r="O24" s="44" t="s">
        <v>138</v>
      </c>
      <c r="P24" s="48"/>
      <c r="Q24" s="48"/>
      <c r="R24" s="47"/>
      <c r="S24" s="47"/>
      <c r="T24" s="48"/>
      <c r="U24" s="48"/>
      <c r="V24" s="48"/>
      <c r="W24" s="48"/>
      <c r="X24" s="48"/>
      <c r="Y24" s="47"/>
      <c r="Z24" s="47"/>
      <c r="AA24" s="44" t="s">
        <v>138</v>
      </c>
      <c r="AB24" s="48"/>
      <c r="AC24" s="48"/>
      <c r="AD24" s="48"/>
      <c r="AE24" s="43"/>
      <c r="AF24" s="47"/>
      <c r="AG24" s="47"/>
      <c r="AH24" s="40"/>
      <c r="AI24" s="40"/>
      <c r="AJ24" s="40"/>
      <c r="AK24" s="40"/>
    </row>
    <row r="25" spans="1:37" ht="19.25" customHeight="1">
      <c r="A25" s="42"/>
      <c r="B25" s="48"/>
      <c r="C25" s="48"/>
      <c r="D25" s="48"/>
      <c r="E25" s="47"/>
      <c r="F25" s="68"/>
      <c r="G25" s="68"/>
      <c r="H25" s="68"/>
      <c r="I25" s="48"/>
      <c r="J25" s="48"/>
      <c r="K25" s="47"/>
      <c r="L25" s="47"/>
      <c r="M25" s="48"/>
      <c r="N25" s="48"/>
      <c r="O25" s="48"/>
      <c r="P25" s="48"/>
      <c r="Q25" s="48"/>
      <c r="R25" s="47"/>
      <c r="S25" s="47"/>
      <c r="T25" s="48"/>
      <c r="U25" s="48"/>
      <c r="V25" s="48"/>
      <c r="W25" s="48"/>
      <c r="X25" s="48"/>
      <c r="Y25" s="47"/>
      <c r="Z25" s="47"/>
      <c r="AA25" s="48"/>
      <c r="AB25" s="48"/>
      <c r="AC25" s="48"/>
      <c r="AD25" s="48"/>
      <c r="AE25" s="43"/>
      <c r="AF25" s="47"/>
      <c r="AG25" s="47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 t="s">
        <v>164</v>
      </c>
      <c r="B26" s="48" t="s">
        <v>141</v>
      </c>
      <c r="C26" s="48"/>
      <c r="D26" s="48"/>
      <c r="E26" s="47"/>
      <c r="F26" s="68"/>
      <c r="G26" s="68"/>
      <c r="H26" s="68"/>
      <c r="I26" s="48"/>
      <c r="J26" s="48"/>
      <c r="K26" s="47"/>
      <c r="L26" s="47"/>
      <c r="M26" s="48"/>
      <c r="N26" s="48"/>
      <c r="O26" s="48"/>
      <c r="P26" s="48"/>
      <c r="Q26" s="48"/>
      <c r="R26" s="47"/>
      <c r="S26" s="47"/>
      <c r="T26" s="48"/>
      <c r="U26" s="48"/>
      <c r="V26" s="48"/>
      <c r="W26" s="48"/>
      <c r="X26" s="48"/>
      <c r="Y26" s="47"/>
      <c r="Z26" s="47"/>
      <c r="AA26" s="48"/>
      <c r="AB26" s="48"/>
      <c r="AC26" s="48"/>
      <c r="AD26" s="48"/>
      <c r="AE26" s="43"/>
      <c r="AF26" s="47"/>
      <c r="AG26" s="47"/>
      <c r="AH26" s="42" t="s">
        <v>164</v>
      </c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B6" sqref="B6"/>
      <selection pane="topRight" activeCell="B6" sqref="B6"/>
      <selection pane="bottomLeft" activeCell="B6" sqref="B6"/>
      <selection pane="bottomRight" activeCell="B6" sqref="B6"/>
    </sheetView>
  </sheetViews>
  <sheetFormatPr defaultRowHeight="19.25" customHeight="1"/>
  <cols>
    <col min="1" max="1" bestFit="true" customWidth="true" width="12.4140625"/>
    <col min="2" max="2" bestFit="true" customWidth="true" width="6.83203125"/>
    <col min="3" max="33" customWidth="true" width="3.6640625"/>
    <col min="34" max="34" bestFit="true" customWidth="true" width="12.5"/>
    <col min="35" max="35" bestFit="true" customWidth="true" width="12.33203125"/>
    <col min="36" max="36" bestFit="true" customWidth="true" width="10.4140625"/>
    <col min="37" max="37" bestFit="true" customWidth="true" width="7.58203125"/>
    <col min="38" max="38" customWidth="true" width="3.33203125"/>
  </cols>
  <sheetData>
    <row r="1" spans="1:38" ht="19.25" customHeight="1" thickBot="1">
      <c r="A1" s="49">
        <v>46174</v>
      </c>
      <c r="AB1" s="50" t="s">
        <v>136</v>
      </c>
    </row>
    <row r="2" spans="1:38" ht="19.25" customHeight="1" thickBot="1">
      <c r="A2" s="51">
        <f>YEAR(A1)</f>
        <v>2026</v>
      </c>
      <c r="B2" s="52">
        <f>MONTH(A1)</f>
        <v>6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 s="0">
        <v>143</v>
      </c>
      <c r="V2" s="54" t="s">
        <v>144</v>
      </c>
      <c r="W2" s="55"/>
      <c r="X2" s="56" t="s">
        <v>145</v>
      </c>
      <c r="Y2" s="55"/>
      <c r="Z2" s="57"/>
      <c r="AB2" s="50" t="s">
        <v>146</v>
      </c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7">
        <f>DATEVALUE(A2&amp;"/"&amp;B2&amp;"/1")</f>
        <v>46174</v>
      </c>
      <c r="D4" s="77">
        <f>C4+1</f>
        <v>46175</v>
      </c>
      <c r="E4" s="77">
        <f t="shared" ref="E4:T5" si="0">D4+1</f>
        <v>46176</v>
      </c>
      <c r="F4" s="69">
        <f t="shared" si="0"/>
        <v>46177</v>
      </c>
      <c r="G4" s="69">
        <f t="shared" si="0"/>
        <v>46178</v>
      </c>
      <c r="H4" s="66">
        <f t="shared" si="0"/>
        <v>46179</v>
      </c>
      <c r="I4" s="45">
        <f t="shared" si="0"/>
        <v>46180</v>
      </c>
      <c r="J4" s="77">
        <f t="shared" si="0"/>
        <v>46181</v>
      </c>
      <c r="K4" s="77">
        <f t="shared" si="0"/>
        <v>46182</v>
      </c>
      <c r="L4" s="77">
        <f t="shared" si="0"/>
        <v>46183</v>
      </c>
      <c r="M4" s="77">
        <f t="shared" si="0"/>
        <v>46184</v>
      </c>
      <c r="N4" s="77">
        <f t="shared" si="0"/>
        <v>46185</v>
      </c>
      <c r="O4" s="45">
        <f t="shared" si="0"/>
        <v>46186</v>
      </c>
      <c r="P4" s="45">
        <f t="shared" si="0"/>
        <v>46187</v>
      </c>
      <c r="Q4" s="77">
        <f t="shared" si="0"/>
        <v>46188</v>
      </c>
      <c r="R4" s="77">
        <f t="shared" si="0"/>
        <v>46189</v>
      </c>
      <c r="S4" s="77">
        <f t="shared" si="0"/>
        <v>46190</v>
      </c>
      <c r="T4" s="77">
        <f t="shared" si="0"/>
        <v>46191</v>
      </c>
      <c r="U4" s="77">
        <f t="shared" ref="U4:AF5" si="1">T4+1</f>
        <v>46192</v>
      </c>
      <c r="V4" s="45">
        <f t="shared" si="1"/>
        <v>46193</v>
      </c>
      <c r="W4" s="45">
        <f t="shared" si="1"/>
        <v>46194</v>
      </c>
      <c r="X4" s="77">
        <f t="shared" si="1"/>
        <v>46195</v>
      </c>
      <c r="Y4" s="77">
        <f t="shared" si="1"/>
        <v>46196</v>
      </c>
      <c r="Z4" s="77">
        <f t="shared" si="1"/>
        <v>46197</v>
      </c>
      <c r="AA4" s="77">
        <f t="shared" si="1"/>
        <v>46198</v>
      </c>
      <c r="AB4" s="77">
        <f t="shared" si="1"/>
        <v>46199</v>
      </c>
      <c r="AC4" s="45">
        <f t="shared" si="1"/>
        <v>46200</v>
      </c>
      <c r="AD4" s="66">
        <f t="shared" si="1"/>
        <v>46201</v>
      </c>
      <c r="AE4" s="77">
        <f t="shared" si="1"/>
        <v>46202</v>
      </c>
      <c r="AF4" s="77">
        <f t="shared" si="1"/>
        <v>46203</v>
      </c>
      <c r="AG4" s="45"/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8">
        <f>C4</f>
        <v>46174</v>
      </c>
      <c r="D5" s="78">
        <f>C5+1</f>
        <v>46175</v>
      </c>
      <c r="E5" s="78">
        <f t="shared" si="0"/>
        <v>46176</v>
      </c>
      <c r="F5" s="70">
        <f t="shared" si="0"/>
        <v>46177</v>
      </c>
      <c r="G5" s="70">
        <f t="shared" si="0"/>
        <v>46178</v>
      </c>
      <c r="H5" s="67">
        <f t="shared" si="0"/>
        <v>46179</v>
      </c>
      <c r="I5" s="46">
        <f t="shared" si="0"/>
        <v>46180</v>
      </c>
      <c r="J5" s="78">
        <f t="shared" si="0"/>
        <v>46181</v>
      </c>
      <c r="K5" s="78">
        <f t="shared" si="0"/>
        <v>46182</v>
      </c>
      <c r="L5" s="78">
        <f t="shared" si="0"/>
        <v>46183</v>
      </c>
      <c r="M5" s="78">
        <f t="shared" si="0"/>
        <v>46184</v>
      </c>
      <c r="N5" s="78">
        <f t="shared" si="0"/>
        <v>46185</v>
      </c>
      <c r="O5" s="46">
        <f t="shared" si="0"/>
        <v>46186</v>
      </c>
      <c r="P5" s="46">
        <f t="shared" si="0"/>
        <v>46187</v>
      </c>
      <c r="Q5" s="78">
        <f t="shared" si="0"/>
        <v>46188</v>
      </c>
      <c r="R5" s="78">
        <f t="shared" si="0"/>
        <v>46189</v>
      </c>
      <c r="S5" s="78">
        <f t="shared" si="0"/>
        <v>46190</v>
      </c>
      <c r="T5" s="78">
        <f t="shared" si="0"/>
        <v>46191</v>
      </c>
      <c r="U5" s="78">
        <f t="shared" si="1"/>
        <v>46192</v>
      </c>
      <c r="V5" s="46">
        <f t="shared" si="1"/>
        <v>46193</v>
      </c>
      <c r="W5" s="46">
        <f t="shared" si="1"/>
        <v>46194</v>
      </c>
      <c r="X5" s="78">
        <f t="shared" si="1"/>
        <v>46195</v>
      </c>
      <c r="Y5" s="78">
        <f t="shared" si="1"/>
        <v>46196</v>
      </c>
      <c r="Z5" s="78">
        <f t="shared" si="1"/>
        <v>46197</v>
      </c>
      <c r="AA5" s="78">
        <f t="shared" si="1"/>
        <v>46198</v>
      </c>
      <c r="AB5" s="78">
        <f t="shared" si="1"/>
        <v>46199</v>
      </c>
      <c r="AC5" s="46">
        <f t="shared" si="1"/>
        <v>46200</v>
      </c>
      <c r="AD5" s="67">
        <f t="shared" si="1"/>
        <v>46201</v>
      </c>
      <c r="AE5" s="78">
        <f t="shared" si="1"/>
        <v>46202</v>
      </c>
      <c r="AF5" s="78">
        <f t="shared" si="1"/>
        <v>46203</v>
      </c>
      <c r="AG5" s="46"/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44" t="s">
        <v>233</v>
      </c>
      <c r="D6" s="48"/>
      <c r="E6" s="48"/>
      <c r="F6" s="43"/>
      <c r="G6" s="43"/>
      <c r="H6" s="68"/>
      <c r="I6" s="47"/>
      <c r="J6" s="48"/>
      <c r="K6" s="48"/>
      <c r="L6" s="48"/>
      <c r="M6" s="48"/>
      <c r="N6" s="48"/>
      <c r="O6" s="47"/>
      <c r="P6" s="47"/>
      <c r="Q6" s="48"/>
      <c r="R6" s="48"/>
      <c r="S6" s="48"/>
      <c r="T6" s="48"/>
      <c r="U6" s="48"/>
      <c r="V6" s="47"/>
      <c r="W6" s="47"/>
      <c r="X6" s="48"/>
      <c r="Y6" s="48"/>
      <c r="Z6" s="48"/>
      <c r="AA6" s="48"/>
      <c r="AB6" s="48"/>
      <c r="AC6" s="47"/>
      <c r="AD6" s="68"/>
      <c r="AE6" s="43"/>
      <c r="AF6" s="48"/>
      <c r="AG6" s="47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6" s="40">
        <v>0</v>
      </c>
      <c r="AK6" s="40"/>
    </row>
    <row r="7" spans="1:38" ht="19.25" customHeight="1">
      <c r="A7" s="42"/>
      <c r="B7" s="48"/>
      <c r="C7" s="48"/>
      <c r="D7" s="48"/>
      <c r="E7" s="48"/>
      <c r="F7" s="43"/>
      <c r="G7" s="43"/>
      <c r="H7" s="68"/>
      <c r="I7" s="47"/>
      <c r="J7" s="48"/>
      <c r="K7" s="48"/>
      <c r="L7" s="48"/>
      <c r="M7" s="48"/>
      <c r="N7" s="48"/>
      <c r="O7" s="47"/>
      <c r="P7" s="47"/>
      <c r="Q7" s="48"/>
      <c r="R7" s="48"/>
      <c r="S7" s="48"/>
      <c r="T7" s="48"/>
      <c r="U7" s="48"/>
      <c r="V7" s="47"/>
      <c r="W7" s="47"/>
      <c r="X7" s="48"/>
      <c r="Y7" s="48"/>
      <c r="Z7" s="48"/>
      <c r="AA7" s="48"/>
      <c r="AB7" s="48"/>
      <c r="AC7" s="47"/>
      <c r="AD7" s="68"/>
      <c r="AE7" s="43"/>
      <c r="AF7" s="48"/>
      <c r="AG7" s="47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48"/>
      <c r="D8" s="48"/>
      <c r="E8" s="48"/>
      <c r="F8" s="43"/>
      <c r="G8" s="43"/>
      <c r="H8" s="68"/>
      <c r="I8" s="47"/>
      <c r="J8" s="48"/>
      <c r="K8" s="48"/>
      <c r="L8" s="48"/>
      <c r="M8" s="48"/>
      <c r="N8" s="48"/>
      <c r="O8" s="47"/>
      <c r="P8" s="47"/>
      <c r="Q8" s="48"/>
      <c r="R8" s="44" t="s">
        <v>138</v>
      </c>
      <c r="S8" s="48"/>
      <c r="T8" s="48"/>
      <c r="U8" s="48"/>
      <c r="V8" s="47"/>
      <c r="W8" s="47"/>
      <c r="X8" s="48"/>
      <c r="Y8" s="48"/>
      <c r="Z8" s="48"/>
      <c r="AA8" s="48"/>
      <c r="AB8" s="48"/>
      <c r="AC8" s="47"/>
      <c r="AD8" s="68"/>
      <c r="AE8" s="43"/>
      <c r="AF8" s="48"/>
      <c r="AG8" s="47"/>
      <c r="AH8" s="42" t="s">
        <v>114</v>
      </c>
      <c r="AI8" s="64">
        <f t="shared" si="2"/>
        <v>149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48"/>
      <c r="D9" s="48"/>
      <c r="E9" s="48"/>
      <c r="F9" s="43"/>
      <c r="G9" s="43"/>
      <c r="H9" s="68"/>
      <c r="I9" s="47"/>
      <c r="J9" s="48"/>
      <c r="K9" s="48"/>
      <c r="L9" s="48"/>
      <c r="M9" s="48"/>
      <c r="N9" s="44" t="s">
        <v>233</v>
      </c>
      <c r="O9" s="47"/>
      <c r="P9" s="47"/>
      <c r="Q9" s="48"/>
      <c r="R9" s="48"/>
      <c r="S9" s="48"/>
      <c r="T9" s="48"/>
      <c r="U9" s="48"/>
      <c r="V9" s="47"/>
      <c r="W9" s="47"/>
      <c r="X9" s="48"/>
      <c r="Y9" s="48"/>
      <c r="Z9" s="48"/>
      <c r="AA9" s="48"/>
      <c r="AB9" s="48"/>
      <c r="AC9" s="47"/>
      <c r="AD9" s="68"/>
      <c r="AE9" s="43"/>
      <c r="AF9" s="48"/>
      <c r="AG9" s="47"/>
      <c r="AH9" s="42" t="s">
        <v>116</v>
      </c>
      <c r="AI9" s="64">
        <f t="shared" si="2"/>
        <v>149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48"/>
      <c r="D10" s="48"/>
      <c r="E10" s="48"/>
      <c r="F10" s="43"/>
      <c r="G10" s="43"/>
      <c r="H10" s="68"/>
      <c r="I10" s="47"/>
      <c r="J10" s="48"/>
      <c r="K10" s="48"/>
      <c r="L10" s="48"/>
      <c r="M10" s="48"/>
      <c r="N10" s="48"/>
      <c r="O10" s="47"/>
      <c r="P10" s="47"/>
      <c r="Q10" s="48"/>
      <c r="R10" s="48"/>
      <c r="S10" s="48"/>
      <c r="T10" s="48"/>
      <c r="U10" s="48"/>
      <c r="V10" s="47"/>
      <c r="W10" s="47"/>
      <c r="X10" s="48"/>
      <c r="Y10" s="48"/>
      <c r="Z10" s="48"/>
      <c r="AA10" s="48"/>
      <c r="AB10" s="48"/>
      <c r="AC10" s="47"/>
      <c r="AD10" s="68"/>
      <c r="AE10" s="43"/>
      <c r="AF10" s="48"/>
      <c r="AG10" s="47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44" t="s">
        <v>233</v>
      </c>
      <c r="D11" s="48"/>
      <c r="E11" s="48"/>
      <c r="F11" s="43"/>
      <c r="G11" s="43"/>
      <c r="H11" s="68"/>
      <c r="I11" s="47"/>
      <c r="J11" s="48"/>
      <c r="K11" s="48"/>
      <c r="L11" s="44" t="s">
        <v>233</v>
      </c>
      <c r="M11" s="48"/>
      <c r="N11" s="48"/>
      <c r="O11" s="47"/>
      <c r="P11" s="47"/>
      <c r="Q11" s="48"/>
      <c r="R11" s="48"/>
      <c r="S11" s="48"/>
      <c r="T11" s="48"/>
      <c r="U11" s="48"/>
      <c r="V11" s="47"/>
      <c r="W11" s="47"/>
      <c r="X11" s="48"/>
      <c r="Y11" s="48"/>
      <c r="Z11" s="48"/>
      <c r="AA11" s="48"/>
      <c r="AB11" s="48"/>
      <c r="AC11" s="47"/>
      <c r="AD11" s="68"/>
      <c r="AE11" s="43"/>
      <c r="AF11" s="48"/>
      <c r="AG11" s="47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48"/>
      <c r="D12" s="44" t="s">
        <v>138</v>
      </c>
      <c r="E12" s="48"/>
      <c r="F12" s="43"/>
      <c r="G12" s="43"/>
      <c r="H12" s="68"/>
      <c r="I12" s="47"/>
      <c r="J12" s="48"/>
      <c r="K12" s="48"/>
      <c r="L12" s="48"/>
      <c r="M12" s="48"/>
      <c r="N12" s="48"/>
      <c r="O12" s="47"/>
      <c r="P12" s="47"/>
      <c r="Q12" s="48"/>
      <c r="R12" s="48"/>
      <c r="S12" s="48"/>
      <c r="T12" s="48"/>
      <c r="U12" s="48"/>
      <c r="V12" s="47"/>
      <c r="W12" s="47"/>
      <c r="X12" s="48"/>
      <c r="Y12" s="48"/>
      <c r="Z12" s="48"/>
      <c r="AA12" s="48"/>
      <c r="AB12" s="48"/>
      <c r="AC12" s="47"/>
      <c r="AD12" s="68"/>
      <c r="AE12" s="43" t="s">
        <v>233</v>
      </c>
      <c r="AF12" s="48"/>
      <c r="AG12" s="47"/>
      <c r="AH12" s="42" t="s">
        <v>108</v>
      </c>
      <c r="AI12" s="64">
        <f t="shared" si="3"/>
        <v>141.55000000000001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48"/>
      <c r="D13" s="48"/>
      <c r="E13" s="48"/>
      <c r="F13" s="43"/>
      <c r="G13" s="43"/>
      <c r="H13" s="68"/>
      <c r="I13" s="47"/>
      <c r="J13" s="48"/>
      <c r="K13" s="48"/>
      <c r="L13" s="48"/>
      <c r="M13" s="48"/>
      <c r="N13" s="48"/>
      <c r="O13" s="47"/>
      <c r="P13" s="47"/>
      <c r="Q13" s="48"/>
      <c r="R13" s="48"/>
      <c r="S13" s="48"/>
      <c r="T13" s="48"/>
      <c r="U13" s="44" t="s">
        <v>234</v>
      </c>
      <c r="V13" s="47"/>
      <c r="W13" s="47"/>
      <c r="X13" s="48"/>
      <c r="Y13" s="48"/>
      <c r="Z13" s="48"/>
      <c r="AA13" s="48"/>
      <c r="AB13" s="48"/>
      <c r="AC13" s="47"/>
      <c r="AD13" s="68"/>
      <c r="AE13" s="43"/>
      <c r="AF13" s="48"/>
      <c r="AG13" s="47"/>
      <c r="AH13" s="42" t="s">
        <v>110</v>
      </c>
      <c r="AI13" s="64">
        <f t="shared" si="3"/>
        <v>152.94999999999999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48"/>
      <c r="D14" s="48"/>
      <c r="E14" s="48"/>
      <c r="F14" s="43"/>
      <c r="G14" s="43"/>
      <c r="H14" s="68"/>
      <c r="I14" s="47"/>
      <c r="J14" s="48"/>
      <c r="K14" s="48"/>
      <c r="L14" s="48"/>
      <c r="M14" s="48"/>
      <c r="N14" s="48"/>
      <c r="O14" s="47"/>
      <c r="P14" s="47"/>
      <c r="Q14" s="48"/>
      <c r="R14" s="48"/>
      <c r="S14" s="48"/>
      <c r="T14" s="48"/>
      <c r="U14" s="48"/>
      <c r="V14" s="47"/>
      <c r="W14" s="47"/>
      <c r="X14" s="48"/>
      <c r="Y14" s="48"/>
      <c r="Z14" s="48"/>
      <c r="AA14" s="48"/>
      <c r="AB14" s="48"/>
      <c r="AC14" s="47"/>
      <c r="AD14" s="68"/>
      <c r="AE14" s="43"/>
      <c r="AF14" s="48"/>
      <c r="AG14" s="47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48"/>
      <c r="D15" s="48"/>
      <c r="E15" s="48"/>
      <c r="F15" s="43"/>
      <c r="G15" s="43"/>
      <c r="H15" s="68"/>
      <c r="I15" s="47"/>
      <c r="J15" s="48"/>
      <c r="K15" s="48"/>
      <c r="L15" s="48"/>
      <c r="M15" s="48"/>
      <c r="N15" s="48"/>
      <c r="O15" s="47"/>
      <c r="P15" s="47"/>
      <c r="Q15" s="48"/>
      <c r="R15" s="48"/>
      <c r="S15" s="48"/>
      <c r="T15" s="48"/>
      <c r="U15" s="48"/>
      <c r="V15" s="47"/>
      <c r="W15" s="47"/>
      <c r="X15" s="48"/>
      <c r="Y15" s="48"/>
      <c r="Z15" s="48"/>
      <c r="AA15" s="48"/>
      <c r="AB15" s="48"/>
      <c r="AC15" s="47"/>
      <c r="AD15" s="68"/>
      <c r="AE15" s="43"/>
      <c r="AF15" s="48"/>
      <c r="AG15" s="47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48"/>
      <c r="D16" s="48"/>
      <c r="E16" s="48"/>
      <c r="F16" s="43"/>
      <c r="G16" s="43"/>
      <c r="H16" s="68"/>
      <c r="I16" s="47"/>
      <c r="J16" s="48"/>
      <c r="K16" s="48"/>
      <c r="L16" s="48"/>
      <c r="M16" s="48"/>
      <c r="N16" s="48"/>
      <c r="O16" s="47"/>
      <c r="P16" s="47"/>
      <c r="Q16" s="48"/>
      <c r="R16" s="48"/>
      <c r="S16" s="48"/>
      <c r="T16" s="48"/>
      <c r="U16" s="48"/>
      <c r="V16" s="47"/>
      <c r="W16" s="47"/>
      <c r="X16" s="48"/>
      <c r="Y16" s="48"/>
      <c r="Z16" s="48"/>
      <c r="AA16" s="48"/>
      <c r="AB16" s="48"/>
      <c r="AC16" s="47"/>
      <c r="AD16" s="68"/>
      <c r="AE16" s="43"/>
      <c r="AF16" s="48"/>
      <c r="AG16" s="47"/>
      <c r="AH16" s="42" t="s">
        <v>158</v>
      </c>
      <c r="AI16" s="64">
        <f t="shared" si="4"/>
        <v>156.45000000000002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48"/>
      <c r="D17" s="48"/>
      <c r="E17" s="48"/>
      <c r="F17" s="43"/>
      <c r="G17" s="43"/>
      <c r="H17" s="68"/>
      <c r="I17" s="47"/>
      <c r="J17" s="48"/>
      <c r="K17" s="48"/>
      <c r="L17" s="48"/>
      <c r="M17" s="48"/>
      <c r="N17" s="48"/>
      <c r="O17" s="47"/>
      <c r="P17" s="47"/>
      <c r="Q17" s="48"/>
      <c r="R17" s="48"/>
      <c r="S17" s="48"/>
      <c r="T17" s="48"/>
      <c r="U17" s="48"/>
      <c r="V17" s="47"/>
      <c r="W17" s="47"/>
      <c r="X17" s="48"/>
      <c r="Y17" s="48" t="s">
        <v>233</v>
      </c>
      <c r="Z17" s="48"/>
      <c r="AA17" s="48"/>
      <c r="AB17" s="48"/>
      <c r="AC17" s="47"/>
      <c r="AD17" s="68"/>
      <c r="AE17" s="43"/>
      <c r="AF17" s="48"/>
      <c r="AG17" s="47"/>
      <c r="AH17" s="42" t="s">
        <v>113</v>
      </c>
      <c r="AI17" s="64">
        <f t="shared" si="4"/>
        <v>149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48"/>
      <c r="D18" s="48"/>
      <c r="E18" s="48"/>
      <c r="F18" s="43"/>
      <c r="G18" s="43"/>
      <c r="H18" s="68"/>
      <c r="I18" s="47"/>
      <c r="J18" s="48"/>
      <c r="K18" s="48"/>
      <c r="L18" s="48"/>
      <c r="M18" s="48"/>
      <c r="N18" s="48"/>
      <c r="O18" s="47"/>
      <c r="P18" s="47"/>
      <c r="Q18" s="48"/>
      <c r="R18" s="48"/>
      <c r="S18" s="48"/>
      <c r="T18" s="48"/>
      <c r="U18" s="48"/>
      <c r="V18" s="47"/>
      <c r="W18" s="47"/>
      <c r="X18" s="48"/>
      <c r="Y18" s="48"/>
      <c r="Z18" s="48"/>
      <c r="AA18" s="48"/>
      <c r="AB18" s="48"/>
      <c r="AC18" s="47"/>
      <c r="AD18" s="68"/>
      <c r="AE18" s="43"/>
      <c r="AF18" s="48"/>
      <c r="AG18" s="47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48"/>
      <c r="D19" s="48"/>
      <c r="E19" s="48"/>
      <c r="F19" s="43"/>
      <c r="G19" s="43"/>
      <c r="H19" s="68"/>
      <c r="I19" s="47"/>
      <c r="J19" s="48"/>
      <c r="K19" s="48"/>
      <c r="L19" s="48"/>
      <c r="M19" s="44" t="s">
        <v>138</v>
      </c>
      <c r="N19" s="48"/>
      <c r="O19" s="47"/>
      <c r="P19" s="47"/>
      <c r="Q19" s="48"/>
      <c r="R19" s="48"/>
      <c r="S19" s="48"/>
      <c r="T19" s="48"/>
      <c r="U19" s="48"/>
      <c r="V19" s="47"/>
      <c r="W19" s="47"/>
      <c r="X19" s="48"/>
      <c r="Y19" s="48"/>
      <c r="Z19" s="48"/>
      <c r="AA19" s="48"/>
      <c r="AB19" s="44" t="s">
        <v>138</v>
      </c>
      <c r="AC19" s="47"/>
      <c r="AD19" s="68"/>
      <c r="AE19" s="43"/>
      <c r="AF19" s="48"/>
      <c r="AG19" s="47"/>
      <c r="AH19" s="42" t="s">
        <v>160</v>
      </c>
      <c r="AI19" s="64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141.55000000000001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48"/>
      <c r="D20" s="48"/>
      <c r="E20" s="44" t="s">
        <v>138</v>
      </c>
      <c r="F20" s="43"/>
      <c r="G20" s="43"/>
      <c r="H20" s="68"/>
      <c r="I20" s="47"/>
      <c r="J20" s="44" t="s">
        <v>138</v>
      </c>
      <c r="K20" s="44" t="s">
        <v>138</v>
      </c>
      <c r="L20" s="44" t="s">
        <v>138</v>
      </c>
      <c r="M20" s="48"/>
      <c r="N20" s="48"/>
      <c r="O20" s="47"/>
      <c r="P20" s="47"/>
      <c r="Q20" s="48"/>
      <c r="R20" s="48"/>
      <c r="S20" s="48"/>
      <c r="T20" s="48"/>
      <c r="U20" s="48"/>
      <c r="V20" s="47"/>
      <c r="W20" s="47"/>
      <c r="X20" s="48"/>
      <c r="Y20" s="48"/>
      <c r="Z20" s="48"/>
      <c r="AA20" s="48"/>
      <c r="AB20" s="48"/>
      <c r="AC20" s="47"/>
      <c r="AD20" s="68"/>
      <c r="AE20" s="43"/>
      <c r="AF20" s="48"/>
      <c r="AG20" s="47"/>
      <c r="AH20" s="42" t="s">
        <v>118</v>
      </c>
      <c r="AI20" s="64">
        <f t="shared" si="5"/>
        <v>126.65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48"/>
      <c r="D21" s="48"/>
      <c r="E21" s="48"/>
      <c r="F21" s="43"/>
      <c r="G21" s="43"/>
      <c r="H21" s="68"/>
      <c r="I21" s="47"/>
      <c r="J21" s="48"/>
      <c r="K21" s="48"/>
      <c r="L21" s="48"/>
      <c r="M21" s="48"/>
      <c r="N21" s="43"/>
      <c r="O21" s="47"/>
      <c r="P21" s="47"/>
      <c r="Q21" s="44" t="s">
        <v>138</v>
      </c>
      <c r="R21" s="48"/>
      <c r="S21" s="48"/>
      <c r="T21" s="48"/>
      <c r="U21" s="48"/>
      <c r="V21" s="47"/>
      <c r="W21" s="47"/>
      <c r="X21" s="43"/>
      <c r="Y21" s="44" t="s">
        <v>138</v>
      </c>
      <c r="Z21" s="48"/>
      <c r="AA21" s="48"/>
      <c r="AB21" s="48"/>
      <c r="AC21" s="47"/>
      <c r="AD21" s="68"/>
      <c r="AE21" s="43"/>
      <c r="AF21" s="48"/>
      <c r="AG21" s="47"/>
      <c r="AH21" s="42" t="s">
        <v>119</v>
      </c>
      <c r="AI21" s="64">
        <f t="shared" si="5"/>
        <v>141.55000000000001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48"/>
      <c r="D22" s="48"/>
      <c r="E22" s="48"/>
      <c r="F22" s="43"/>
      <c r="G22" s="43"/>
      <c r="H22" s="68"/>
      <c r="I22" s="47"/>
      <c r="J22" s="48"/>
      <c r="K22" s="71" t="s">
        <v>232</v>
      </c>
      <c r="L22" s="48"/>
      <c r="M22" s="48"/>
      <c r="N22" s="48"/>
      <c r="O22" s="47"/>
      <c r="P22" s="47"/>
      <c r="Q22" s="48"/>
      <c r="R22" s="48"/>
      <c r="S22" s="48"/>
      <c r="T22" s="48"/>
      <c r="U22" s="48"/>
      <c r="V22" s="47"/>
      <c r="W22" s="47"/>
      <c r="X22" s="48"/>
      <c r="Y22" s="48"/>
      <c r="Z22" s="48"/>
      <c r="AA22" s="48"/>
      <c r="AB22" s="48"/>
      <c r="AC22" s="47"/>
      <c r="AD22" s="68"/>
      <c r="AE22" s="43"/>
      <c r="AF22" s="48"/>
      <c r="AG22" s="47"/>
      <c r="AH22" s="42" t="s">
        <v>120</v>
      </c>
      <c r="AI22" s="64">
        <f t="shared" si="5"/>
        <v>152.30000000000001</v>
      </c>
      <c r="AJ22" s="40">
        <v>2</v>
      </c>
      <c r="AK22" s="64" t="e" vm="1">
        <v>#VALUE!</v>
      </c>
    </row>
    <row r="23" spans="1:37" ht="19.25" customHeight="1">
      <c r="A23" s="42" t="s">
        <v>163</v>
      </c>
      <c r="B23" s="48" t="s">
        <v>161</v>
      </c>
      <c r="C23" s="48"/>
      <c r="D23" s="48"/>
      <c r="E23" s="48"/>
      <c r="F23" s="43"/>
      <c r="G23" s="44" t="s">
        <v>138</v>
      </c>
      <c r="H23" s="68"/>
      <c r="I23" s="47"/>
      <c r="J23" s="48"/>
      <c r="K23" s="48"/>
      <c r="L23" s="48"/>
      <c r="M23" s="48"/>
      <c r="N23" s="48"/>
      <c r="O23" s="47"/>
      <c r="P23" s="47"/>
      <c r="Q23" s="48"/>
      <c r="R23" s="48"/>
      <c r="S23" s="48"/>
      <c r="T23" s="48"/>
      <c r="U23" s="48"/>
      <c r="V23" s="47"/>
      <c r="W23" s="47"/>
      <c r="X23" s="48"/>
      <c r="Y23" s="48"/>
      <c r="Z23" s="48"/>
      <c r="AA23" s="48"/>
      <c r="AB23" s="48"/>
      <c r="AC23" s="47"/>
      <c r="AD23" s="68"/>
      <c r="AE23" s="44" t="s">
        <v>138</v>
      </c>
      <c r="AF23" s="44" t="s">
        <v>138</v>
      </c>
      <c r="AG23" s="47"/>
      <c r="AH23" s="42" t="s">
        <v>163</v>
      </c>
      <c r="AI23" s="64">
        <f t="shared" si="5"/>
        <v>134.1</v>
      </c>
      <c r="AJ23" s="40">
        <v>2</v>
      </c>
      <c r="AK23" s="64" t="e" vm="1">
        <v>#VALUE!</v>
      </c>
    </row>
    <row r="24" spans="1:37" ht="19.25" customHeight="1">
      <c r="A24" s="42" t="s">
        <v>211</v>
      </c>
      <c r="B24" s="48" t="s">
        <v>161</v>
      </c>
      <c r="C24" s="48"/>
      <c r="D24" s="48"/>
      <c r="E24" s="48"/>
      <c r="F24" s="43"/>
      <c r="G24" s="43"/>
      <c r="H24" s="68"/>
      <c r="I24" s="47"/>
      <c r="J24" s="48"/>
      <c r="K24" s="48"/>
      <c r="L24" s="48"/>
      <c r="M24" s="48"/>
      <c r="N24" s="48"/>
      <c r="O24" s="47"/>
      <c r="P24" s="47"/>
      <c r="Q24" s="48"/>
      <c r="R24" s="48"/>
      <c r="S24" s="48"/>
      <c r="T24" s="48"/>
      <c r="U24" s="44" t="s">
        <v>138</v>
      </c>
      <c r="V24" s="47"/>
      <c r="W24" s="47"/>
      <c r="X24" s="48"/>
      <c r="Y24" s="48"/>
      <c r="Z24" s="48"/>
      <c r="AA24" s="44" t="s">
        <v>138</v>
      </c>
      <c r="AB24" s="48"/>
      <c r="AC24" s="47"/>
      <c r="AD24" s="68"/>
      <c r="AE24" s="43"/>
      <c r="AF24" s="48"/>
      <c r="AG24" s="47"/>
      <c r="AH24" s="40"/>
      <c r="AI24" s="40"/>
      <c r="AJ24" s="40"/>
      <c r="AK24" s="40"/>
    </row>
    <row r="25" spans="1:37" ht="19.25" customHeight="1">
      <c r="A25" s="42"/>
      <c r="B25" s="48"/>
      <c r="C25" s="48"/>
      <c r="D25" s="48"/>
      <c r="E25" s="48"/>
      <c r="F25" s="63"/>
      <c r="G25" s="63"/>
      <c r="H25" s="62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63"/>
      <c r="AE25" s="63"/>
      <c r="AF25" s="48"/>
      <c r="AG25" s="48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/>
      <c r="B26" s="48"/>
      <c r="C26" s="48"/>
      <c r="D26" s="48"/>
      <c r="E26" s="48"/>
      <c r="F26" s="63"/>
      <c r="G26" s="63"/>
      <c r="H26" s="62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48"/>
      <c r="AB26" s="48"/>
      <c r="AC26" s="48"/>
      <c r="AD26" s="63"/>
      <c r="AE26" s="63"/>
      <c r="AF26" s="48"/>
      <c r="AG26" s="48"/>
      <c r="AH26" s="42"/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8E521-BE1E-4686-AC7C-4AA9BD7E7347}">
  <sheetPr codeName="Sheet31">
    <pageSetUpPr fitToPage="1"/>
  </sheetPr>
  <dimension ref="A1:AL31"/>
  <sheetViews>
    <sheetView zoomScale="90" zoomScaleNormal="90" zoomScaleSheetLayoutView="115" workbookViewId="0">
      <pane xSplit="1" ySplit="5" topLeftCell="B6" activePane="bottomRight" state="frozenSplit"/>
      <selection activeCell="B6" sqref="B6"/>
      <selection pane="topRight" activeCell="B6" sqref="B6"/>
      <selection pane="bottomLeft" activeCell="B6" sqref="B6"/>
      <selection pane="bottomRight" activeCell="M30" sqref="M30"/>
    </sheetView>
  </sheetViews>
  <sheetFormatPr defaultRowHeight="19.25" customHeight="1"/>
  <cols>
    <col min="1" max="1" bestFit="true" customWidth="true" width="12.4140625"/>
    <col min="2" max="2" bestFit="true" customWidth="true" width="6.83203125"/>
    <col min="3" max="33" customWidth="true" width="3.6640625"/>
    <col min="34" max="34" bestFit="true" customWidth="true" width="12.5"/>
    <col min="35" max="35" bestFit="true" customWidth="true" width="12.33203125"/>
    <col min="36" max="36" bestFit="true" customWidth="true" width="10.4140625"/>
    <col min="37" max="37" bestFit="true" customWidth="true" width="7.58203125"/>
    <col min="38" max="38" customWidth="true" width="3.33203125"/>
  </cols>
  <sheetData>
    <row r="1" spans="1:38" ht="19.25" customHeight="1" thickBot="1">
      <c r="A1" s="49">
        <v>46204</v>
      </c>
      <c r="AB1" s="50" t="s">
        <v>136</v>
      </c>
    </row>
    <row r="2" spans="1:38" ht="19.25" customHeight="1" thickBot="1">
      <c r="A2" s="51">
        <f>YEAR(A1)</f>
        <v>2026</v>
      </c>
      <c r="B2" s="52">
        <f>MONTH(A1)</f>
        <v>7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 s="0">
        <v>143</v>
      </c>
      <c r="V2" s="54" t="s">
        <v>144</v>
      </c>
      <c r="W2" s="55"/>
      <c r="X2" s="56" t="s">
        <v>145</v>
      </c>
      <c r="Y2" s="55"/>
      <c r="Z2" s="57"/>
      <c r="AB2" s="50" t="s">
        <v>146</v>
      </c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7">
        <f>DATEVALUE(A2&amp;"/"&amp;B2&amp;"/1")</f>
        <v>46204</v>
      </c>
      <c r="D4" s="77">
        <f>C4+1</f>
        <v>46205</v>
      </c>
      <c r="E4" s="77">
        <f t="shared" ref="E4:T5" si="0">D4+1</f>
        <v>46206</v>
      </c>
      <c r="F4" s="66">
        <f t="shared" si="0"/>
        <v>46207</v>
      </c>
      <c r="G4" s="66">
        <f t="shared" si="0"/>
        <v>46208</v>
      </c>
      <c r="H4" s="77">
        <f t="shared" si="0"/>
        <v>46209</v>
      </c>
      <c r="I4" s="77">
        <f t="shared" si="0"/>
        <v>46210</v>
      </c>
      <c r="J4" s="77">
        <f t="shared" si="0"/>
        <v>46211</v>
      </c>
      <c r="K4" s="77">
        <f t="shared" si="0"/>
        <v>46212</v>
      </c>
      <c r="L4" s="77">
        <f t="shared" si="0"/>
        <v>46213</v>
      </c>
      <c r="M4" s="45">
        <f t="shared" si="0"/>
        <v>46214</v>
      </c>
      <c r="N4" s="45">
        <f t="shared" si="0"/>
        <v>46215</v>
      </c>
      <c r="O4" s="77">
        <f t="shared" si="0"/>
        <v>46216</v>
      </c>
      <c r="P4" s="77">
        <f t="shared" si="0"/>
        <v>46217</v>
      </c>
      <c r="Q4" s="77">
        <f t="shared" si="0"/>
        <v>46218</v>
      </c>
      <c r="R4" s="77">
        <f t="shared" si="0"/>
        <v>46219</v>
      </c>
      <c r="S4" s="77">
        <f t="shared" si="0"/>
        <v>46220</v>
      </c>
      <c r="T4" s="45">
        <f t="shared" si="0"/>
        <v>46221</v>
      </c>
      <c r="U4" s="45">
        <f t="shared" ref="U4:AG5" si="1">T4+1</f>
        <v>46222</v>
      </c>
      <c r="V4" s="77">
        <f t="shared" si="1"/>
        <v>46223</v>
      </c>
      <c r="W4" s="77">
        <f t="shared" si="1"/>
        <v>46224</v>
      </c>
      <c r="X4" s="77">
        <f t="shared" si="1"/>
        <v>46225</v>
      </c>
      <c r="Y4" s="77">
        <f t="shared" si="1"/>
        <v>46226</v>
      </c>
      <c r="Z4" s="77">
        <f t="shared" si="1"/>
        <v>46227</v>
      </c>
      <c r="AA4" s="73">
        <f t="shared" si="1"/>
        <v>46228</v>
      </c>
      <c r="AB4" s="45">
        <f t="shared" si="1"/>
        <v>46229</v>
      </c>
      <c r="AC4" s="77">
        <f t="shared" si="1"/>
        <v>46230</v>
      </c>
      <c r="AD4" s="77">
        <f t="shared" si="1"/>
        <v>46231</v>
      </c>
      <c r="AE4" s="77">
        <f t="shared" si="1"/>
        <v>46232</v>
      </c>
      <c r="AF4" s="77">
        <f t="shared" si="1"/>
        <v>46233</v>
      </c>
      <c r="AG4" s="77">
        <f t="shared" si="1"/>
        <v>46234</v>
      </c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8">
        <f>C4</f>
        <v>46204</v>
      </c>
      <c r="D5" s="78">
        <f>C5+1</f>
        <v>46205</v>
      </c>
      <c r="E5" s="78">
        <f t="shared" si="0"/>
        <v>46206</v>
      </c>
      <c r="F5" s="67">
        <f t="shared" si="0"/>
        <v>46207</v>
      </c>
      <c r="G5" s="67">
        <f t="shared" si="0"/>
        <v>46208</v>
      </c>
      <c r="H5" s="78">
        <f t="shared" si="0"/>
        <v>46209</v>
      </c>
      <c r="I5" s="78">
        <f t="shared" si="0"/>
        <v>46210</v>
      </c>
      <c r="J5" s="78">
        <f t="shared" si="0"/>
        <v>46211</v>
      </c>
      <c r="K5" s="78">
        <f t="shared" si="0"/>
        <v>46212</v>
      </c>
      <c r="L5" s="78">
        <f t="shared" si="0"/>
        <v>46213</v>
      </c>
      <c r="M5" s="46">
        <f t="shared" si="0"/>
        <v>46214</v>
      </c>
      <c r="N5" s="46">
        <f t="shared" si="0"/>
        <v>46215</v>
      </c>
      <c r="O5" s="78">
        <f t="shared" si="0"/>
        <v>46216</v>
      </c>
      <c r="P5" s="78">
        <f t="shared" si="0"/>
        <v>46217</v>
      </c>
      <c r="Q5" s="78">
        <f t="shared" si="0"/>
        <v>46218</v>
      </c>
      <c r="R5" s="78">
        <f t="shared" si="0"/>
        <v>46219</v>
      </c>
      <c r="S5" s="78">
        <f t="shared" si="0"/>
        <v>46220</v>
      </c>
      <c r="T5" s="46">
        <f t="shared" si="0"/>
        <v>46221</v>
      </c>
      <c r="U5" s="46">
        <f t="shared" si="1"/>
        <v>46222</v>
      </c>
      <c r="V5" s="78">
        <f t="shared" si="1"/>
        <v>46223</v>
      </c>
      <c r="W5" s="78">
        <f t="shared" si="1"/>
        <v>46224</v>
      </c>
      <c r="X5" s="78">
        <f t="shared" si="1"/>
        <v>46225</v>
      </c>
      <c r="Y5" s="78">
        <f t="shared" si="1"/>
        <v>46226</v>
      </c>
      <c r="Z5" s="78">
        <f t="shared" si="1"/>
        <v>46227</v>
      </c>
      <c r="AA5" s="74">
        <f t="shared" si="1"/>
        <v>46228</v>
      </c>
      <c r="AB5" s="46">
        <f t="shared" si="1"/>
        <v>46229</v>
      </c>
      <c r="AC5" s="78">
        <f t="shared" si="1"/>
        <v>46230</v>
      </c>
      <c r="AD5" s="78">
        <f t="shared" si="1"/>
        <v>46231</v>
      </c>
      <c r="AE5" s="78">
        <f t="shared" si="1"/>
        <v>46232</v>
      </c>
      <c r="AF5" s="78">
        <f t="shared" si="1"/>
        <v>46233</v>
      </c>
      <c r="AG5" s="78">
        <f t="shared" si="1"/>
        <v>46234</v>
      </c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48"/>
      <c r="D6" s="48"/>
      <c r="E6" s="48"/>
      <c r="F6" s="68"/>
      <c r="G6" s="68"/>
      <c r="H6" s="48"/>
      <c r="I6" s="48"/>
      <c r="J6" s="48"/>
      <c r="K6" s="48"/>
      <c r="L6" s="48"/>
      <c r="M6" s="47"/>
      <c r="N6" s="47"/>
      <c r="O6" s="48"/>
      <c r="P6" s="48"/>
      <c r="Q6" s="48"/>
      <c r="R6" s="48"/>
      <c r="S6" s="48"/>
      <c r="T6" s="47"/>
      <c r="U6" s="47"/>
      <c r="V6" s="48"/>
      <c r="W6" s="48"/>
      <c r="X6" s="48"/>
      <c r="Y6" s="48"/>
      <c r="Z6" s="48"/>
      <c r="AA6" s="75"/>
      <c r="AB6" s="47"/>
      <c r="AC6" s="48"/>
      <c r="AD6" s="48"/>
      <c r="AE6" s="43"/>
      <c r="AF6" s="48"/>
      <c r="AG6" s="48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0">
        <v>0</v>
      </c>
      <c r="AK6" s="40"/>
    </row>
    <row r="7" spans="1:38" ht="19.25" customHeight="1">
      <c r="A7" s="42"/>
      <c r="B7" s="48"/>
      <c r="C7" s="48"/>
      <c r="D7" s="48"/>
      <c r="E7" s="48"/>
      <c r="F7" s="68"/>
      <c r="G7" s="68"/>
      <c r="H7" s="48"/>
      <c r="I7" s="48"/>
      <c r="J7" s="48"/>
      <c r="K7" s="48"/>
      <c r="L7" s="48"/>
      <c r="M7" s="47"/>
      <c r="N7" s="47"/>
      <c r="O7" s="48"/>
      <c r="P7" s="48"/>
      <c r="Q7" s="48"/>
      <c r="R7" s="48"/>
      <c r="S7" s="48"/>
      <c r="T7" s="47"/>
      <c r="U7" s="47"/>
      <c r="V7" s="48"/>
      <c r="W7" s="48"/>
      <c r="X7" s="48"/>
      <c r="Y7" s="48"/>
      <c r="Z7" s="48"/>
      <c r="AA7" s="75"/>
      <c r="AB7" s="47"/>
      <c r="AC7" s="48"/>
      <c r="AD7" s="48"/>
      <c r="AE7" s="43"/>
      <c r="AF7" s="48"/>
      <c r="AG7" s="48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48"/>
      <c r="D8" s="48"/>
      <c r="E8" s="48"/>
      <c r="F8" s="68"/>
      <c r="G8" s="68"/>
      <c r="H8" s="48"/>
      <c r="I8" s="48"/>
      <c r="J8" s="71" t="s">
        <v>232</v>
      </c>
      <c r="K8" s="48"/>
      <c r="L8" s="48"/>
      <c r="M8" s="47"/>
      <c r="N8" s="47"/>
      <c r="O8" s="48"/>
      <c r="P8" s="48"/>
      <c r="Q8" s="48"/>
      <c r="R8" s="48"/>
      <c r="S8" s="44" t="s">
        <v>138</v>
      </c>
      <c r="T8" s="47"/>
      <c r="U8" s="47"/>
      <c r="V8" s="48"/>
      <c r="W8" s="48"/>
      <c r="X8" s="48"/>
      <c r="Y8" s="48"/>
      <c r="Z8" s="48"/>
      <c r="AA8" s="75"/>
      <c r="AB8" s="47"/>
      <c r="AC8" s="48"/>
      <c r="AD8" s="48"/>
      <c r="AE8" s="43"/>
      <c r="AF8" s="48"/>
      <c r="AG8" s="48"/>
      <c r="AH8" s="42" t="s">
        <v>114</v>
      </c>
      <c r="AI8" s="64">
        <f t="shared" si="2"/>
        <v>144.85000000000002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48"/>
      <c r="D9" s="48"/>
      <c r="E9" s="48"/>
      <c r="F9" s="68"/>
      <c r="G9" s="68"/>
      <c r="H9" s="48"/>
      <c r="I9" s="48"/>
      <c r="J9" s="48"/>
      <c r="K9" s="48"/>
      <c r="L9" s="44" t="s">
        <v>138</v>
      </c>
      <c r="M9" s="47"/>
      <c r="N9" s="47"/>
      <c r="O9" s="48"/>
      <c r="P9" s="48"/>
      <c r="Q9" s="48"/>
      <c r="R9" s="48"/>
      <c r="S9" s="48"/>
      <c r="T9" s="47"/>
      <c r="U9" s="47"/>
      <c r="V9" s="48"/>
      <c r="W9" s="48"/>
      <c r="X9" s="48"/>
      <c r="Y9" s="44" t="s">
        <v>233</v>
      </c>
      <c r="Z9" s="48"/>
      <c r="AA9" s="75"/>
      <c r="AB9" s="47"/>
      <c r="AC9" s="48"/>
      <c r="AD9" s="48"/>
      <c r="AE9" s="43"/>
      <c r="AF9" s="48"/>
      <c r="AG9" s="48"/>
      <c r="AH9" s="42" t="s">
        <v>116</v>
      </c>
      <c r="AI9" s="64">
        <f t="shared" si="2"/>
        <v>141.55000000000001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48"/>
      <c r="D10" s="48"/>
      <c r="E10" s="48"/>
      <c r="F10" s="68"/>
      <c r="G10" s="68"/>
      <c r="H10" s="48"/>
      <c r="I10" s="48"/>
      <c r="J10" s="48"/>
      <c r="K10" s="48"/>
      <c r="L10" s="48"/>
      <c r="M10" s="47"/>
      <c r="N10" s="47"/>
      <c r="O10" s="48"/>
      <c r="P10" s="48"/>
      <c r="Q10" s="48"/>
      <c r="R10" s="48"/>
      <c r="S10" s="48"/>
      <c r="T10" s="47"/>
      <c r="U10" s="47"/>
      <c r="V10" s="48"/>
      <c r="W10" s="48"/>
      <c r="X10" s="48"/>
      <c r="Y10" s="48"/>
      <c r="Z10" s="48"/>
      <c r="AA10" s="75"/>
      <c r="AB10" s="47"/>
      <c r="AC10" s="48"/>
      <c r="AD10" s="48"/>
      <c r="AE10" s="43"/>
      <c r="AF10" s="48"/>
      <c r="AG10" s="48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44" t="s">
        <v>233</v>
      </c>
      <c r="D11" s="48"/>
      <c r="E11" s="48"/>
      <c r="F11" s="68"/>
      <c r="G11" s="68"/>
      <c r="H11" s="48"/>
      <c r="I11" s="48"/>
      <c r="J11" s="48"/>
      <c r="K11" s="48"/>
      <c r="L11" s="48"/>
      <c r="M11" s="47"/>
      <c r="N11" s="47"/>
      <c r="O11" s="48"/>
      <c r="P11" s="48"/>
      <c r="Q11" s="48"/>
      <c r="R11" s="48"/>
      <c r="S11" s="48"/>
      <c r="T11" s="47"/>
      <c r="U11" s="47"/>
      <c r="V11" s="48"/>
      <c r="W11" s="48"/>
      <c r="X11" s="48"/>
      <c r="Y11" s="48"/>
      <c r="Z11" s="48"/>
      <c r="AA11" s="75"/>
      <c r="AB11" s="47"/>
      <c r="AC11" s="48"/>
      <c r="AD11" s="48"/>
      <c r="AE11" s="43"/>
      <c r="AF11" s="48"/>
      <c r="AG11" s="48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48"/>
      <c r="D12" s="48"/>
      <c r="E12" s="44" t="s">
        <v>138</v>
      </c>
      <c r="F12" s="68"/>
      <c r="G12" s="68"/>
      <c r="H12" s="48"/>
      <c r="I12" s="48"/>
      <c r="J12" s="48"/>
      <c r="K12" s="48"/>
      <c r="L12" s="48"/>
      <c r="M12" s="47"/>
      <c r="N12" s="47"/>
      <c r="O12" s="48"/>
      <c r="P12" s="48"/>
      <c r="Q12" s="48"/>
      <c r="R12" s="48"/>
      <c r="S12" s="48"/>
      <c r="T12" s="47"/>
      <c r="U12" s="47"/>
      <c r="V12" s="48"/>
      <c r="W12" s="48"/>
      <c r="X12" s="48"/>
      <c r="Y12" s="44" t="s">
        <v>138</v>
      </c>
      <c r="Z12" s="48"/>
      <c r="AA12" s="75"/>
      <c r="AB12" s="47"/>
      <c r="AC12" s="48"/>
      <c r="AD12" s="48"/>
      <c r="AE12" s="43"/>
      <c r="AF12" s="48"/>
      <c r="AG12" s="48"/>
      <c r="AH12" s="42" t="s">
        <v>108</v>
      </c>
      <c r="AI12" s="64">
        <f t="shared" si="3"/>
        <v>141.55000000000001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48"/>
      <c r="D13" s="48"/>
      <c r="E13" s="48"/>
      <c r="F13" s="68"/>
      <c r="G13" s="68"/>
      <c r="H13" s="48"/>
      <c r="I13" s="44" t="s">
        <v>159</v>
      </c>
      <c r="J13" s="48"/>
      <c r="K13" s="71" t="s">
        <v>232</v>
      </c>
      <c r="L13" s="48"/>
      <c r="M13" s="47"/>
      <c r="N13" s="47"/>
      <c r="O13" s="48"/>
      <c r="P13" s="48"/>
      <c r="Q13" s="44" t="s">
        <v>233</v>
      </c>
      <c r="R13" s="48"/>
      <c r="S13" s="48"/>
      <c r="T13" s="47"/>
      <c r="U13" s="47"/>
      <c r="V13" s="48"/>
      <c r="W13" s="48"/>
      <c r="X13" s="48"/>
      <c r="Y13" s="48"/>
      <c r="Z13" s="48"/>
      <c r="AA13" s="75"/>
      <c r="AB13" s="47"/>
      <c r="AC13" s="48"/>
      <c r="AD13" s="48"/>
      <c r="AE13" s="43"/>
      <c r="AF13" s="48"/>
      <c r="AG13" s="48"/>
      <c r="AH13" s="42" t="s">
        <v>110</v>
      </c>
      <c r="AI13" s="64">
        <f t="shared" si="3"/>
        <v>141.35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48"/>
      <c r="D14" s="48"/>
      <c r="E14" s="48"/>
      <c r="F14" s="68"/>
      <c r="G14" s="68"/>
      <c r="H14" s="48"/>
      <c r="I14" s="48"/>
      <c r="J14" s="48"/>
      <c r="K14" s="48"/>
      <c r="L14" s="48"/>
      <c r="M14" s="47"/>
      <c r="N14" s="47"/>
      <c r="O14" s="48"/>
      <c r="P14" s="48"/>
      <c r="Q14" s="48"/>
      <c r="R14" s="48"/>
      <c r="S14" s="48"/>
      <c r="T14" s="47"/>
      <c r="U14" s="47"/>
      <c r="V14" s="48"/>
      <c r="W14" s="48"/>
      <c r="X14" s="48"/>
      <c r="Y14" s="48"/>
      <c r="Z14" s="48"/>
      <c r="AA14" s="75"/>
      <c r="AB14" s="47"/>
      <c r="AC14" s="48"/>
      <c r="AD14" s="48"/>
      <c r="AE14" s="43"/>
      <c r="AF14" s="48"/>
      <c r="AG14" s="48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48"/>
      <c r="D15" s="48"/>
      <c r="E15" s="48"/>
      <c r="F15" s="68"/>
      <c r="G15" s="68"/>
      <c r="H15" s="48"/>
      <c r="I15" s="48"/>
      <c r="J15" s="48"/>
      <c r="K15" s="48"/>
      <c r="L15" s="48"/>
      <c r="M15" s="47"/>
      <c r="N15" s="47"/>
      <c r="O15" s="48"/>
      <c r="P15" s="48"/>
      <c r="Q15" s="48"/>
      <c r="R15" s="48"/>
      <c r="S15" s="48"/>
      <c r="T15" s="47"/>
      <c r="U15" s="47"/>
      <c r="V15" s="48"/>
      <c r="W15" s="48"/>
      <c r="X15" s="48"/>
      <c r="Y15" s="48"/>
      <c r="Z15" s="48"/>
      <c r="AA15" s="75"/>
      <c r="AB15" s="47"/>
      <c r="AC15" s="48"/>
      <c r="AD15" s="48"/>
      <c r="AE15" s="43"/>
      <c r="AF15" s="48"/>
      <c r="AG15" s="48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48"/>
      <c r="D16" s="48"/>
      <c r="E16" s="48"/>
      <c r="F16" s="68"/>
      <c r="G16" s="68"/>
      <c r="H16" s="48"/>
      <c r="I16" s="48"/>
      <c r="J16" s="48"/>
      <c r="K16" s="48"/>
      <c r="L16" s="44" t="s">
        <v>138</v>
      </c>
      <c r="M16" s="47"/>
      <c r="N16" s="47"/>
      <c r="O16" s="48"/>
      <c r="P16" s="48"/>
      <c r="Q16" s="48"/>
      <c r="R16" s="48"/>
      <c r="S16" s="48"/>
      <c r="T16" s="47"/>
      <c r="U16" s="47"/>
      <c r="V16" s="48"/>
      <c r="W16" s="48"/>
      <c r="X16" s="48"/>
      <c r="Y16" s="48"/>
      <c r="Z16" s="48"/>
      <c r="AA16" s="75"/>
      <c r="AB16" s="47"/>
      <c r="AC16" s="44" t="s">
        <v>138</v>
      </c>
      <c r="AD16" s="48"/>
      <c r="AE16" s="43"/>
      <c r="AF16" s="48"/>
      <c r="AG16" s="48"/>
      <c r="AH16" s="42" t="s">
        <v>158</v>
      </c>
      <c r="AI16" s="64">
        <f t="shared" si="4"/>
        <v>141.55000000000001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48"/>
      <c r="D17" s="48"/>
      <c r="E17" s="48"/>
      <c r="F17" s="68"/>
      <c r="G17" s="68"/>
      <c r="H17" s="48"/>
      <c r="I17" s="48"/>
      <c r="J17" s="48"/>
      <c r="K17" s="48"/>
      <c r="L17" s="48"/>
      <c r="M17" s="47"/>
      <c r="N17" s="47"/>
      <c r="O17" s="48"/>
      <c r="P17" s="44" t="s">
        <v>235</v>
      </c>
      <c r="Q17" s="48"/>
      <c r="R17" s="48"/>
      <c r="S17" s="48"/>
      <c r="T17" s="47"/>
      <c r="U17" s="47"/>
      <c r="V17" s="48"/>
      <c r="W17" s="48"/>
      <c r="X17" s="48"/>
      <c r="Y17" s="48"/>
      <c r="Z17" s="48"/>
      <c r="AA17" s="75"/>
      <c r="AB17" s="47"/>
      <c r="AC17" s="48"/>
      <c r="AD17" s="48"/>
      <c r="AE17" s="43"/>
      <c r="AF17" s="48"/>
      <c r="AG17" s="48"/>
      <c r="AH17" s="42" t="s">
        <v>113</v>
      </c>
      <c r="AI17" s="64">
        <f t="shared" si="4"/>
        <v>152.30000000000001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48"/>
      <c r="D18" s="48"/>
      <c r="E18" s="48"/>
      <c r="F18" s="68"/>
      <c r="G18" s="68"/>
      <c r="H18" s="48"/>
      <c r="I18" s="48"/>
      <c r="J18" s="48"/>
      <c r="K18" s="48"/>
      <c r="L18" s="48"/>
      <c r="M18" s="47"/>
      <c r="N18" s="47"/>
      <c r="O18" s="48"/>
      <c r="P18" s="48"/>
      <c r="Q18" s="48"/>
      <c r="R18" s="48"/>
      <c r="S18" s="48"/>
      <c r="T18" s="47"/>
      <c r="U18" s="47"/>
      <c r="V18" s="48"/>
      <c r="W18" s="48"/>
      <c r="X18" s="48"/>
      <c r="Y18" s="48"/>
      <c r="Z18" s="48"/>
      <c r="AA18" s="75"/>
      <c r="AB18" s="47"/>
      <c r="AC18" s="48"/>
      <c r="AD18" s="48"/>
      <c r="AE18" s="43"/>
      <c r="AF18" s="48"/>
      <c r="AG18" s="48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48"/>
      <c r="D19" s="48"/>
      <c r="E19" s="48"/>
      <c r="F19" s="68"/>
      <c r="G19" s="68"/>
      <c r="H19" s="48"/>
      <c r="I19" s="48"/>
      <c r="J19" s="48"/>
      <c r="K19" s="48"/>
      <c r="L19" s="48"/>
      <c r="M19" s="47"/>
      <c r="N19" s="47"/>
      <c r="O19" s="48"/>
      <c r="P19" s="48"/>
      <c r="Q19" s="48"/>
      <c r="R19" s="48"/>
      <c r="S19" s="48"/>
      <c r="T19" s="47"/>
      <c r="U19" s="47"/>
      <c r="V19" s="48"/>
      <c r="W19" s="48"/>
      <c r="X19" s="48"/>
      <c r="Y19" s="48"/>
      <c r="Z19" s="48"/>
      <c r="AA19" s="75"/>
      <c r="AB19" s="47"/>
      <c r="AC19" s="48"/>
      <c r="AD19" s="48"/>
      <c r="AE19" s="43"/>
      <c r="AF19" s="48"/>
      <c r="AG19" s="48"/>
      <c r="AH19" s="42" t="s">
        <v>160</v>
      </c>
      <c r="AI19" s="64">
        <f t="shared" ref="AI19:AI23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48"/>
      <c r="D20" s="48"/>
      <c r="E20" s="48"/>
      <c r="F20" s="68"/>
      <c r="G20" s="68"/>
      <c r="H20" s="48"/>
      <c r="I20" s="44" t="s">
        <v>138</v>
      </c>
      <c r="J20" s="48"/>
      <c r="K20" s="48"/>
      <c r="L20" s="48"/>
      <c r="M20" s="47"/>
      <c r="N20" s="47"/>
      <c r="O20" s="48"/>
      <c r="P20" s="48"/>
      <c r="Q20" s="48"/>
      <c r="R20" s="48"/>
      <c r="S20" s="48"/>
      <c r="T20" s="47"/>
      <c r="U20" s="47"/>
      <c r="V20" s="48"/>
      <c r="W20" s="48"/>
      <c r="X20" s="48"/>
      <c r="Y20" s="48"/>
      <c r="Z20" s="48"/>
      <c r="AA20" s="75"/>
      <c r="AB20" s="47"/>
      <c r="AC20" s="48"/>
      <c r="AD20" s="48"/>
      <c r="AE20" s="43"/>
      <c r="AF20" s="48"/>
      <c r="AG20" s="48"/>
      <c r="AH20" s="42" t="s">
        <v>118</v>
      </c>
      <c r="AI20" s="64">
        <f t="shared" si="5"/>
        <v>149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48"/>
      <c r="D21" s="48"/>
      <c r="E21" s="48"/>
      <c r="F21" s="68"/>
      <c r="G21" s="68"/>
      <c r="H21" s="48"/>
      <c r="I21" s="48"/>
      <c r="J21" s="48"/>
      <c r="K21" s="48"/>
      <c r="L21" s="48"/>
      <c r="M21" s="47"/>
      <c r="N21" s="47"/>
      <c r="O21" s="48"/>
      <c r="P21" s="48"/>
      <c r="Q21" s="48"/>
      <c r="R21" s="48"/>
      <c r="S21" s="48"/>
      <c r="T21" s="47"/>
      <c r="U21" s="47"/>
      <c r="V21" s="48"/>
      <c r="W21" s="48"/>
      <c r="X21" s="48"/>
      <c r="Y21" s="48"/>
      <c r="Z21" s="48"/>
      <c r="AA21" s="75"/>
      <c r="AB21" s="47"/>
      <c r="AC21" s="44" t="s">
        <v>138</v>
      </c>
      <c r="AD21" s="48"/>
      <c r="AE21" s="48"/>
      <c r="AF21" s="48"/>
      <c r="AG21" s="48"/>
      <c r="AH21" s="42" t="s">
        <v>119</v>
      </c>
      <c r="AI21" s="64">
        <f t="shared" si="5"/>
        <v>149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48"/>
      <c r="D22" s="48"/>
      <c r="E22" s="71" t="s">
        <v>232</v>
      </c>
      <c r="F22" s="68"/>
      <c r="G22" s="68"/>
      <c r="H22" s="48"/>
      <c r="I22" s="48"/>
      <c r="J22" s="48"/>
      <c r="K22" s="48"/>
      <c r="L22" s="48"/>
      <c r="M22" s="47"/>
      <c r="N22" s="47"/>
      <c r="O22" s="48"/>
      <c r="P22" s="48"/>
      <c r="Q22" s="48"/>
      <c r="R22" s="48"/>
      <c r="S22" s="48"/>
      <c r="T22" s="47"/>
      <c r="U22" s="47"/>
      <c r="V22" s="48"/>
      <c r="W22" s="48"/>
      <c r="X22" s="48"/>
      <c r="Y22" s="48"/>
      <c r="Z22" s="71" t="s">
        <v>232</v>
      </c>
      <c r="AA22" s="75"/>
      <c r="AB22" s="47"/>
      <c r="AC22" s="48"/>
      <c r="AD22" s="48"/>
      <c r="AE22" s="43"/>
      <c r="AF22" s="48"/>
      <c r="AG22" s="48"/>
      <c r="AH22" s="42" t="s">
        <v>120</v>
      </c>
      <c r="AI22" s="64">
        <f t="shared" si="5"/>
        <v>148.15</v>
      </c>
      <c r="AJ22" s="40">
        <v>2</v>
      </c>
      <c r="AK22" s="64" t="e" vm="1">
        <v>#VALUE!</v>
      </c>
    </row>
    <row r="23" spans="1:37" ht="19.25" customHeight="1">
      <c r="A23" s="42" t="s">
        <v>163</v>
      </c>
      <c r="B23" s="48" t="s">
        <v>161</v>
      </c>
      <c r="C23" s="48"/>
      <c r="D23" s="48"/>
      <c r="E23" s="48"/>
      <c r="F23" s="68"/>
      <c r="G23" s="68"/>
      <c r="H23" s="48"/>
      <c r="I23" s="48"/>
      <c r="J23" s="48"/>
      <c r="K23" s="48"/>
      <c r="L23" s="48"/>
      <c r="M23" s="47"/>
      <c r="N23" s="47"/>
      <c r="O23" s="48"/>
      <c r="P23" s="48"/>
      <c r="Q23" s="48"/>
      <c r="R23" s="48"/>
      <c r="S23" s="48"/>
      <c r="T23" s="47"/>
      <c r="U23" s="47"/>
      <c r="V23" s="48"/>
      <c r="W23" s="48"/>
      <c r="X23" s="48"/>
      <c r="Y23" s="48"/>
      <c r="Z23" s="48"/>
      <c r="AA23" s="75"/>
      <c r="AB23" s="47"/>
      <c r="AC23" s="48"/>
      <c r="AD23" s="48"/>
      <c r="AE23" s="43"/>
      <c r="AF23" s="48"/>
      <c r="AG23" s="48"/>
      <c r="AH23" s="42" t="s">
        <v>163</v>
      </c>
      <c r="AI23" s="64">
        <f t="shared" si="5"/>
        <v>156.45000000000002</v>
      </c>
      <c r="AJ23" s="40">
        <v>2</v>
      </c>
      <c r="AK23" s="64" t="e" vm="1">
        <v>#VALUE!</v>
      </c>
    </row>
    <row r="24" spans="1:37" ht="19.25" customHeight="1">
      <c r="A24" s="42" t="s">
        <v>211</v>
      </c>
      <c r="B24" s="48" t="s">
        <v>161</v>
      </c>
      <c r="C24" s="48"/>
      <c r="D24" s="48"/>
      <c r="E24" s="48"/>
      <c r="F24" s="68"/>
      <c r="G24" s="68"/>
      <c r="H24" s="48"/>
      <c r="I24" s="48"/>
      <c r="J24" s="48"/>
      <c r="K24" s="48"/>
      <c r="L24" s="48"/>
      <c r="M24" s="47"/>
      <c r="N24" s="47"/>
      <c r="O24" s="48"/>
      <c r="P24" s="48"/>
      <c r="Q24" s="48"/>
      <c r="R24" s="48"/>
      <c r="S24" s="48"/>
      <c r="T24" s="47"/>
      <c r="U24" s="47"/>
      <c r="V24" s="48"/>
      <c r="W24" s="48"/>
      <c r="X24" s="48"/>
      <c r="Y24" s="48"/>
      <c r="Z24" s="48"/>
      <c r="AA24" s="75"/>
      <c r="AB24" s="47"/>
      <c r="AC24" s="48"/>
      <c r="AD24" s="48"/>
      <c r="AE24" s="44" t="s">
        <v>138</v>
      </c>
      <c r="AF24" s="48"/>
      <c r="AG24" s="48"/>
      <c r="AH24" s="40"/>
      <c r="AI24" s="40"/>
      <c r="AJ24" s="40"/>
      <c r="AK24" s="40"/>
    </row>
    <row r="25" spans="1:37" ht="19.25" customHeight="1">
      <c r="A25" s="42"/>
      <c r="B25" s="48"/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72"/>
      <c r="AB25" s="48"/>
      <c r="AC25" s="48"/>
      <c r="AD25" s="48"/>
      <c r="AE25" s="63"/>
      <c r="AF25" s="48"/>
      <c r="AG25" s="48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/>
      <c r="B26" s="48"/>
      <c r="C26" s="48"/>
      <c r="D26" s="48"/>
      <c r="E26" s="48"/>
      <c r="F26" s="48"/>
      <c r="G26" s="48"/>
      <c r="H26" s="48"/>
      <c r="I26" s="48"/>
      <c r="J26" s="48"/>
      <c r="K26" s="48"/>
      <c r="L26" s="48"/>
      <c r="M26" s="48"/>
      <c r="N26" s="48"/>
      <c r="O26" s="48"/>
      <c r="P26" s="48"/>
      <c r="Q26" s="48"/>
      <c r="R26" s="48"/>
      <c r="S26" s="48"/>
      <c r="T26" s="48"/>
      <c r="U26" s="48"/>
      <c r="V26" s="48"/>
      <c r="W26" s="48"/>
      <c r="X26" s="48"/>
      <c r="Y26" s="48"/>
      <c r="Z26" s="48"/>
      <c r="AA26" s="72"/>
      <c r="AB26" s="48"/>
      <c r="AC26" s="48"/>
      <c r="AD26" s="48"/>
      <c r="AE26" s="63"/>
      <c r="AF26" s="48"/>
      <c r="AG26" s="48"/>
      <c r="AH26" s="42"/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1AA926-4988-4548-90B4-1B1C8406088D}">
  <sheetPr codeName="Sheet32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B6" sqref="B6"/>
      <selection pane="topRight" activeCell="B6" sqref="B6"/>
      <selection pane="bottomLeft" activeCell="B6" sqref="B6"/>
      <selection pane="bottomRight" activeCell="F32" sqref="F32"/>
    </sheetView>
  </sheetViews>
  <sheetFormatPr defaultRowHeight="19.25" customHeight="1"/>
  <cols>
    <col min="1" max="1" bestFit="true" customWidth="true" width="12.4140625"/>
    <col min="2" max="2" bestFit="true" customWidth="true" width="6.83203125"/>
    <col min="3" max="33" customWidth="true" width="3.6640625"/>
    <col min="34" max="34" bestFit="true" customWidth="true" width="12.5"/>
    <col min="35" max="35" bestFit="true" customWidth="true" width="12.33203125"/>
    <col min="36" max="36" bestFit="true" customWidth="true" width="10.4140625"/>
    <col min="37" max="37" bestFit="true" customWidth="true" width="7.58203125"/>
    <col min="38" max="38" customWidth="true" width="3.33203125"/>
  </cols>
  <sheetData>
    <row r="1" spans="1:38" ht="19.25" customHeight="1" thickBot="1">
      <c r="A1" s="49">
        <v>46235</v>
      </c>
      <c r="AB1" s="79" t="s">
        <v>136</v>
      </c>
      <c r="AC1" s="79"/>
      <c r="AD1" s="79"/>
      <c r="AE1" s="79"/>
      <c r="AF1" s="79"/>
      <c r="AG1" s="79"/>
    </row>
    <row r="2" spans="1:38" ht="19.25" customHeight="1" thickBot="1">
      <c r="A2" s="51">
        <f>YEAR(A1)</f>
        <v>2026</v>
      </c>
      <c r="B2" s="52">
        <f>MONTH(A1)</f>
        <v>8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 s="0">
        <v>143</v>
      </c>
      <c r="V2" s="80" t="s">
        <v>144</v>
      </c>
      <c r="W2" s="81"/>
      <c r="X2" s="82" t="s">
        <v>145</v>
      </c>
      <c r="Y2" s="83"/>
      <c r="Z2" s="84"/>
      <c r="AB2" s="79" t="s">
        <v>146</v>
      </c>
      <c r="AC2" s="79"/>
      <c r="AD2" s="79"/>
      <c r="AE2" s="79"/>
      <c r="AF2" s="79"/>
      <c r="AG2" s="79"/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3">
        <f>DATEVALUE(A2&amp;"/"&amp;B2&amp;"/1")</f>
        <v>46235</v>
      </c>
      <c r="D4" s="73">
        <f>C4+1</f>
        <v>46236</v>
      </c>
      <c r="E4" s="77">
        <f t="shared" ref="E4:T5" si="0">D4+1</f>
        <v>46237</v>
      </c>
      <c r="F4" s="69">
        <f t="shared" si="0"/>
        <v>46238</v>
      </c>
      <c r="G4" s="77">
        <f t="shared" si="0"/>
        <v>46239</v>
      </c>
      <c r="H4" s="77">
        <f t="shared" si="0"/>
        <v>46240</v>
      </c>
      <c r="I4" s="77">
        <f t="shared" si="0"/>
        <v>46241</v>
      </c>
      <c r="J4" s="69">
        <f t="shared" si="0"/>
        <v>46242</v>
      </c>
      <c r="K4" s="73">
        <f t="shared" si="0"/>
        <v>46243</v>
      </c>
      <c r="L4" s="77">
        <f t="shared" si="0"/>
        <v>46244</v>
      </c>
      <c r="M4" s="77">
        <f t="shared" si="0"/>
        <v>46245</v>
      </c>
      <c r="N4" s="73">
        <f t="shared" si="0"/>
        <v>46246</v>
      </c>
      <c r="O4" s="69">
        <f t="shared" si="0"/>
        <v>46247</v>
      </c>
      <c r="P4" s="73">
        <f t="shared" si="0"/>
        <v>46248</v>
      </c>
      <c r="Q4" s="73">
        <f t="shared" si="0"/>
        <v>46249</v>
      </c>
      <c r="R4" s="73">
        <f t="shared" si="0"/>
        <v>46250</v>
      </c>
      <c r="S4" s="77">
        <f t="shared" si="0"/>
        <v>46251</v>
      </c>
      <c r="T4" s="77">
        <f t="shared" si="0"/>
        <v>46252</v>
      </c>
      <c r="U4" s="77">
        <f t="shared" ref="U4:AG5" si="1">T4+1</f>
        <v>46253</v>
      </c>
      <c r="V4" s="77">
        <f t="shared" si="1"/>
        <v>46254</v>
      </c>
      <c r="W4" s="77">
        <f t="shared" si="1"/>
        <v>46255</v>
      </c>
      <c r="X4" s="73">
        <f t="shared" si="1"/>
        <v>46256</v>
      </c>
      <c r="Y4" s="73">
        <f t="shared" si="1"/>
        <v>46257</v>
      </c>
      <c r="Z4" s="77">
        <f t="shared" si="1"/>
        <v>46258</v>
      </c>
      <c r="AA4" s="77">
        <f t="shared" si="1"/>
        <v>46259</v>
      </c>
      <c r="AB4" s="77">
        <f t="shared" si="1"/>
        <v>46260</v>
      </c>
      <c r="AC4" s="77">
        <f t="shared" si="1"/>
        <v>46261</v>
      </c>
      <c r="AD4" s="77">
        <f t="shared" si="1"/>
        <v>46262</v>
      </c>
      <c r="AE4" s="69">
        <f t="shared" si="1"/>
        <v>46263</v>
      </c>
      <c r="AF4" s="73">
        <f t="shared" si="1"/>
        <v>46264</v>
      </c>
      <c r="AG4" s="77">
        <f t="shared" si="1"/>
        <v>46265</v>
      </c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4">
        <f>C4</f>
        <v>46235</v>
      </c>
      <c r="D5" s="74">
        <f>C5+1</f>
        <v>46236</v>
      </c>
      <c r="E5" s="78">
        <f t="shared" si="0"/>
        <v>46237</v>
      </c>
      <c r="F5" s="70">
        <f t="shared" si="0"/>
        <v>46238</v>
      </c>
      <c r="G5" s="78">
        <f t="shared" si="0"/>
        <v>46239</v>
      </c>
      <c r="H5" s="78">
        <f t="shared" si="0"/>
        <v>46240</v>
      </c>
      <c r="I5" s="78">
        <f t="shared" si="0"/>
        <v>46241</v>
      </c>
      <c r="J5" s="70">
        <f t="shared" si="0"/>
        <v>46242</v>
      </c>
      <c r="K5" s="74">
        <f t="shared" si="0"/>
        <v>46243</v>
      </c>
      <c r="L5" s="78">
        <f t="shared" si="0"/>
        <v>46244</v>
      </c>
      <c r="M5" s="78">
        <f t="shared" si="0"/>
        <v>46245</v>
      </c>
      <c r="N5" s="74">
        <f t="shared" si="0"/>
        <v>46246</v>
      </c>
      <c r="O5" s="70">
        <f t="shared" si="0"/>
        <v>46247</v>
      </c>
      <c r="P5" s="74">
        <f t="shared" si="0"/>
        <v>46248</v>
      </c>
      <c r="Q5" s="74">
        <f t="shared" si="0"/>
        <v>46249</v>
      </c>
      <c r="R5" s="74">
        <f t="shared" si="0"/>
        <v>46250</v>
      </c>
      <c r="S5" s="78">
        <f t="shared" si="0"/>
        <v>46251</v>
      </c>
      <c r="T5" s="78">
        <f t="shared" si="0"/>
        <v>46252</v>
      </c>
      <c r="U5" s="78">
        <f t="shared" si="1"/>
        <v>46253</v>
      </c>
      <c r="V5" s="78">
        <f t="shared" si="1"/>
        <v>46254</v>
      </c>
      <c r="W5" s="78">
        <f t="shared" si="1"/>
        <v>46255</v>
      </c>
      <c r="X5" s="74">
        <f t="shared" si="1"/>
        <v>46256</v>
      </c>
      <c r="Y5" s="74">
        <f t="shared" si="1"/>
        <v>46257</v>
      </c>
      <c r="Z5" s="78">
        <f t="shared" si="1"/>
        <v>46258</v>
      </c>
      <c r="AA5" s="78">
        <f t="shared" si="1"/>
        <v>46259</v>
      </c>
      <c r="AB5" s="78">
        <f t="shared" si="1"/>
        <v>46260</v>
      </c>
      <c r="AC5" s="78">
        <f t="shared" si="1"/>
        <v>46261</v>
      </c>
      <c r="AD5" s="78">
        <f t="shared" si="1"/>
        <v>46262</v>
      </c>
      <c r="AE5" s="70">
        <f t="shared" si="1"/>
        <v>46263</v>
      </c>
      <c r="AF5" s="74">
        <f t="shared" si="1"/>
        <v>46264</v>
      </c>
      <c r="AG5" s="78">
        <f t="shared" si="1"/>
        <v>46265</v>
      </c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75"/>
      <c r="D6" s="75"/>
      <c r="E6" s="48"/>
      <c r="F6" s="43"/>
      <c r="G6" s="48"/>
      <c r="H6" s="48"/>
      <c r="I6" s="48"/>
      <c r="J6" s="43"/>
      <c r="K6" s="75"/>
      <c r="L6" s="48"/>
      <c r="M6" s="48"/>
      <c r="N6" s="75"/>
      <c r="O6" s="43"/>
      <c r="P6" s="75"/>
      <c r="Q6" s="75"/>
      <c r="R6" s="75"/>
      <c r="S6" s="48"/>
      <c r="T6" s="48"/>
      <c r="U6" s="48"/>
      <c r="V6" s="48"/>
      <c r="W6" s="48"/>
      <c r="X6" s="75"/>
      <c r="Y6" s="75"/>
      <c r="Z6" s="48"/>
      <c r="AA6" s="48"/>
      <c r="AB6" s="48"/>
      <c r="AC6" s="48"/>
      <c r="AD6" s="48"/>
      <c r="AE6" s="43"/>
      <c r="AF6" s="75"/>
      <c r="AG6" s="48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0">
        <v>0</v>
      </c>
      <c r="AK6" s="40"/>
    </row>
    <row r="7" spans="1:38" ht="19.25" customHeight="1">
      <c r="A7" s="42"/>
      <c r="B7" s="48"/>
      <c r="C7" s="75"/>
      <c r="D7" s="75"/>
      <c r="E7" s="48"/>
      <c r="F7" s="43"/>
      <c r="G7" s="48"/>
      <c r="H7" s="48"/>
      <c r="I7" s="48"/>
      <c r="J7" s="43"/>
      <c r="K7" s="75"/>
      <c r="L7" s="48"/>
      <c r="M7" s="48"/>
      <c r="N7" s="75"/>
      <c r="O7" s="43"/>
      <c r="P7" s="75"/>
      <c r="Q7" s="75"/>
      <c r="R7" s="75"/>
      <c r="S7" s="48"/>
      <c r="T7" s="48"/>
      <c r="U7" s="48"/>
      <c r="V7" s="48"/>
      <c r="W7" s="48"/>
      <c r="X7" s="75"/>
      <c r="Y7" s="75"/>
      <c r="Z7" s="48"/>
      <c r="AA7" s="48"/>
      <c r="AB7" s="48"/>
      <c r="AC7" s="48"/>
      <c r="AD7" s="48"/>
      <c r="AE7" s="43"/>
      <c r="AF7" s="75"/>
      <c r="AG7" s="48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75"/>
      <c r="D8" s="75"/>
      <c r="E8" s="48"/>
      <c r="F8" s="43"/>
      <c r="G8" s="48"/>
      <c r="H8" s="48"/>
      <c r="I8" s="48"/>
      <c r="J8" s="44" t="s">
        <v>138</v>
      </c>
      <c r="K8" s="75"/>
      <c r="L8" s="43"/>
      <c r="M8" s="44" t="s">
        <v>138</v>
      </c>
      <c r="N8" s="75"/>
      <c r="O8" s="44" t="s">
        <v>138</v>
      </c>
      <c r="P8" s="75"/>
      <c r="Q8" s="75"/>
      <c r="R8" s="75"/>
      <c r="S8" s="48"/>
      <c r="T8" s="48"/>
      <c r="U8" s="48"/>
      <c r="V8" s="48"/>
      <c r="W8" s="48"/>
      <c r="X8" s="75"/>
      <c r="Y8" s="75"/>
      <c r="Z8" s="48"/>
      <c r="AA8" s="48"/>
      <c r="AB8" s="48"/>
      <c r="AC8" s="48"/>
      <c r="AD8" s="48"/>
      <c r="AE8" s="44" t="s">
        <v>233</v>
      </c>
      <c r="AF8" s="75"/>
      <c r="AG8" s="48"/>
      <c r="AH8" s="42" t="s">
        <v>114</v>
      </c>
      <c r="AI8" s="64">
        <f t="shared" si="2"/>
        <v>126.65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75"/>
      <c r="D9" s="75"/>
      <c r="E9" s="48"/>
      <c r="F9" s="43"/>
      <c r="G9" s="48"/>
      <c r="H9" s="48"/>
      <c r="I9" s="48"/>
      <c r="J9" s="44" t="s">
        <v>138</v>
      </c>
      <c r="K9" s="75"/>
      <c r="L9" s="43"/>
      <c r="M9" s="44" t="s">
        <v>138</v>
      </c>
      <c r="N9" s="75"/>
      <c r="O9" s="44" t="s">
        <v>138</v>
      </c>
      <c r="P9" s="75"/>
      <c r="Q9" s="75"/>
      <c r="R9" s="75"/>
      <c r="S9" s="48"/>
      <c r="T9" s="48"/>
      <c r="U9" s="48"/>
      <c r="V9" s="44" t="s">
        <v>138</v>
      </c>
      <c r="W9" s="48"/>
      <c r="X9" s="75"/>
      <c r="Y9" s="75"/>
      <c r="Z9" s="48"/>
      <c r="AA9" s="48"/>
      <c r="AB9" s="48"/>
      <c r="AC9" s="48"/>
      <c r="AD9" s="48"/>
      <c r="AE9" s="44" t="s">
        <v>138</v>
      </c>
      <c r="AF9" s="75"/>
      <c r="AG9" s="48"/>
      <c r="AH9" s="42" t="s">
        <v>116</v>
      </c>
      <c r="AI9" s="64">
        <f t="shared" si="2"/>
        <v>119.2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75"/>
      <c r="D10" s="75"/>
      <c r="E10" s="48"/>
      <c r="F10" s="43"/>
      <c r="G10" s="48"/>
      <c r="H10" s="48"/>
      <c r="I10" s="48"/>
      <c r="J10" s="43"/>
      <c r="K10" s="75"/>
      <c r="L10" s="48"/>
      <c r="M10" s="48"/>
      <c r="N10" s="75"/>
      <c r="O10" s="43"/>
      <c r="P10" s="75"/>
      <c r="Q10" s="75"/>
      <c r="R10" s="75"/>
      <c r="S10" s="48"/>
      <c r="T10" s="48"/>
      <c r="U10" s="48"/>
      <c r="V10" s="48"/>
      <c r="W10" s="48"/>
      <c r="X10" s="75"/>
      <c r="Y10" s="75"/>
      <c r="Z10" s="48"/>
      <c r="AA10" s="48"/>
      <c r="AB10" s="48"/>
      <c r="AC10" s="48"/>
      <c r="AD10" s="48"/>
      <c r="AE10" s="43"/>
      <c r="AF10" s="75"/>
      <c r="AG10" s="48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75"/>
      <c r="D11" s="75"/>
      <c r="E11" s="48"/>
      <c r="F11" s="43"/>
      <c r="G11" s="48"/>
      <c r="H11" s="44" t="s">
        <v>233</v>
      </c>
      <c r="I11" s="48"/>
      <c r="J11" s="43"/>
      <c r="K11" s="75"/>
      <c r="L11" s="48"/>
      <c r="M11" s="48"/>
      <c r="N11" s="75"/>
      <c r="O11" s="44" t="s">
        <v>138</v>
      </c>
      <c r="P11" s="75"/>
      <c r="Q11" s="75"/>
      <c r="R11" s="75"/>
      <c r="S11" s="48"/>
      <c r="T11" s="48"/>
      <c r="U11" s="48"/>
      <c r="V11" s="48"/>
      <c r="W11" s="48"/>
      <c r="X11" s="75"/>
      <c r="Y11" s="75"/>
      <c r="Z11" s="48"/>
      <c r="AA11" s="48"/>
      <c r="AB11" s="48"/>
      <c r="AC11" s="48"/>
      <c r="AD11" s="48"/>
      <c r="AE11" s="44" t="s">
        <v>138</v>
      </c>
      <c r="AF11" s="75"/>
      <c r="AG11" s="48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134.1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75"/>
      <c r="D12" s="75"/>
      <c r="E12" s="48"/>
      <c r="F12" s="43"/>
      <c r="G12" s="48"/>
      <c r="H12" s="48"/>
      <c r="I12" s="48"/>
      <c r="J12" s="43"/>
      <c r="K12" s="75"/>
      <c r="L12" s="48"/>
      <c r="M12" s="48"/>
      <c r="N12" s="75"/>
      <c r="O12" s="44" t="s">
        <v>138</v>
      </c>
      <c r="P12" s="75"/>
      <c r="Q12" s="75"/>
      <c r="R12" s="75"/>
      <c r="S12" s="48"/>
      <c r="T12" s="48"/>
      <c r="U12" s="44" t="s">
        <v>138</v>
      </c>
      <c r="V12" s="48"/>
      <c r="W12" s="48"/>
      <c r="X12" s="75"/>
      <c r="Y12" s="75"/>
      <c r="Z12" s="48"/>
      <c r="AA12" s="48"/>
      <c r="AB12" s="48"/>
      <c r="AC12" s="48"/>
      <c r="AD12" s="48"/>
      <c r="AE12" s="43"/>
      <c r="AF12" s="75"/>
      <c r="AG12" s="48"/>
      <c r="AH12" s="42" t="s">
        <v>108</v>
      </c>
      <c r="AI12" s="64">
        <f t="shared" si="3"/>
        <v>141.55000000000001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75"/>
      <c r="D13" s="75"/>
      <c r="E13" s="48"/>
      <c r="F13" s="43"/>
      <c r="G13" s="44" t="s">
        <v>233</v>
      </c>
      <c r="H13" s="48"/>
      <c r="I13" s="48"/>
      <c r="J13" s="43"/>
      <c r="K13" s="75"/>
      <c r="L13" s="44" t="s">
        <v>233</v>
      </c>
      <c r="M13" s="44" t="s">
        <v>233</v>
      </c>
      <c r="N13" s="75"/>
      <c r="O13" s="44" t="s">
        <v>233</v>
      </c>
      <c r="P13" s="75"/>
      <c r="Q13" s="75"/>
      <c r="R13" s="75"/>
      <c r="S13" s="48"/>
      <c r="T13" s="48"/>
      <c r="U13" s="48"/>
      <c r="V13" s="48"/>
      <c r="W13" s="48"/>
      <c r="X13" s="75"/>
      <c r="Y13" s="75"/>
      <c r="Z13" s="48"/>
      <c r="AA13" s="48"/>
      <c r="AB13" s="48"/>
      <c r="AC13" s="48"/>
      <c r="AD13" s="48"/>
      <c r="AE13" s="43"/>
      <c r="AF13" s="75"/>
      <c r="AG13" s="48"/>
      <c r="AH13" s="42" t="s">
        <v>110</v>
      </c>
      <c r="AI13" s="64">
        <f t="shared" si="3"/>
        <v>126.65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75"/>
      <c r="D14" s="75"/>
      <c r="E14" s="48"/>
      <c r="F14" s="43"/>
      <c r="G14" s="48"/>
      <c r="H14" s="48"/>
      <c r="I14" s="48"/>
      <c r="J14" s="43"/>
      <c r="K14" s="75"/>
      <c r="L14" s="48"/>
      <c r="M14" s="48"/>
      <c r="N14" s="75"/>
      <c r="O14" s="43"/>
      <c r="P14" s="75"/>
      <c r="Q14" s="75"/>
      <c r="R14" s="75"/>
      <c r="S14" s="48"/>
      <c r="T14" s="48"/>
      <c r="U14" s="48"/>
      <c r="V14" s="48"/>
      <c r="W14" s="48"/>
      <c r="X14" s="75"/>
      <c r="Y14" s="75"/>
      <c r="Z14" s="48"/>
      <c r="AA14" s="48"/>
      <c r="AB14" s="48"/>
      <c r="AC14" s="48"/>
      <c r="AD14" s="48"/>
      <c r="AE14" s="43"/>
      <c r="AF14" s="75"/>
      <c r="AG14" s="48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75"/>
      <c r="D15" s="75"/>
      <c r="E15" s="48"/>
      <c r="F15" s="43"/>
      <c r="G15" s="48"/>
      <c r="H15" s="48"/>
      <c r="I15" s="48"/>
      <c r="J15" s="71" t="s">
        <v>232</v>
      </c>
      <c r="K15" s="75"/>
      <c r="L15" s="44" t="s">
        <v>233</v>
      </c>
      <c r="M15" s="44" t="s">
        <v>233</v>
      </c>
      <c r="N15" s="75"/>
      <c r="O15" s="44" t="s">
        <v>233</v>
      </c>
      <c r="P15" s="75"/>
      <c r="Q15" s="75"/>
      <c r="R15" s="75"/>
      <c r="S15" s="48"/>
      <c r="T15" s="48"/>
      <c r="U15" s="48"/>
      <c r="V15" s="48"/>
      <c r="W15" s="48"/>
      <c r="X15" s="75"/>
      <c r="Y15" s="75"/>
      <c r="Z15" s="48"/>
      <c r="AA15" s="48"/>
      <c r="AB15" s="48"/>
      <c r="AC15" s="48"/>
      <c r="AD15" s="48"/>
      <c r="AE15" s="44" t="s">
        <v>233</v>
      </c>
      <c r="AF15" s="75"/>
      <c r="AG15" s="48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122.49999999999999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75"/>
      <c r="D16" s="75"/>
      <c r="E16" s="48"/>
      <c r="F16" s="43"/>
      <c r="G16" s="48"/>
      <c r="H16" s="48"/>
      <c r="I16" s="48"/>
      <c r="J16" s="44" t="s">
        <v>233</v>
      </c>
      <c r="K16" s="75"/>
      <c r="L16" s="48"/>
      <c r="M16" s="48"/>
      <c r="N16" s="75"/>
      <c r="O16" s="44" t="s">
        <v>233</v>
      </c>
      <c r="P16" s="75"/>
      <c r="Q16" s="75"/>
      <c r="R16" s="75"/>
      <c r="S16" s="48"/>
      <c r="T16" s="48"/>
      <c r="U16" s="48"/>
      <c r="V16" s="48"/>
      <c r="W16" s="48"/>
      <c r="X16" s="75"/>
      <c r="Y16" s="75"/>
      <c r="Z16" s="48"/>
      <c r="AA16" s="48"/>
      <c r="AB16" s="48"/>
      <c r="AC16" s="48"/>
      <c r="AD16" s="48"/>
      <c r="AE16" s="44" t="s">
        <v>233</v>
      </c>
      <c r="AF16" s="75"/>
      <c r="AG16" s="48"/>
      <c r="AH16" s="42" t="s">
        <v>158</v>
      </c>
      <c r="AI16" s="64">
        <f t="shared" si="4"/>
        <v>134.1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75"/>
      <c r="D17" s="75"/>
      <c r="E17" s="48"/>
      <c r="F17" s="43"/>
      <c r="G17" s="48"/>
      <c r="H17" s="48"/>
      <c r="I17" s="48"/>
      <c r="J17" s="43"/>
      <c r="K17" s="75"/>
      <c r="L17" s="48"/>
      <c r="M17" s="48"/>
      <c r="N17" s="75"/>
      <c r="O17" s="44" t="s">
        <v>138</v>
      </c>
      <c r="P17" s="75"/>
      <c r="Q17" s="75"/>
      <c r="R17" s="75"/>
      <c r="S17" s="48"/>
      <c r="T17" s="48"/>
      <c r="U17" s="48"/>
      <c r="V17" s="48"/>
      <c r="W17" s="48"/>
      <c r="X17" s="75"/>
      <c r="Y17" s="75"/>
      <c r="Z17" s="48"/>
      <c r="AA17" s="48"/>
      <c r="AB17" s="48"/>
      <c r="AC17" s="48"/>
      <c r="AD17" s="48"/>
      <c r="AE17" s="43"/>
      <c r="AF17" s="75"/>
      <c r="AG17" s="48"/>
      <c r="AH17" s="42" t="s">
        <v>113</v>
      </c>
      <c r="AI17" s="64">
        <f t="shared" si="4"/>
        <v>149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75"/>
      <c r="D18" s="75"/>
      <c r="E18" s="48"/>
      <c r="F18" s="43"/>
      <c r="G18" s="48"/>
      <c r="H18" s="48"/>
      <c r="I18" s="48"/>
      <c r="J18" s="43"/>
      <c r="K18" s="75"/>
      <c r="L18" s="48"/>
      <c r="M18" s="48"/>
      <c r="N18" s="75"/>
      <c r="O18" s="43"/>
      <c r="P18" s="75"/>
      <c r="Q18" s="75"/>
      <c r="R18" s="75"/>
      <c r="S18" s="48"/>
      <c r="T18" s="48"/>
      <c r="U18" s="48"/>
      <c r="V18" s="48"/>
      <c r="W18" s="48"/>
      <c r="X18" s="75"/>
      <c r="Y18" s="75"/>
      <c r="Z18" s="48"/>
      <c r="AA18" s="48"/>
      <c r="AB18" s="48"/>
      <c r="AC18" s="48"/>
      <c r="AD18" s="48"/>
      <c r="AE18" s="43"/>
      <c r="AF18" s="75"/>
      <c r="AG18" s="48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75"/>
      <c r="D19" s="75"/>
      <c r="E19" s="48"/>
      <c r="F19" s="43"/>
      <c r="G19" s="48"/>
      <c r="H19" s="71" t="s">
        <v>232</v>
      </c>
      <c r="I19" s="48"/>
      <c r="J19" s="43"/>
      <c r="K19" s="75"/>
      <c r="L19" s="44" t="s">
        <v>138</v>
      </c>
      <c r="M19" s="44" t="s">
        <v>138</v>
      </c>
      <c r="N19" s="75"/>
      <c r="O19" s="44" t="s">
        <v>138</v>
      </c>
      <c r="P19" s="75"/>
      <c r="Q19" s="75"/>
      <c r="R19" s="75"/>
      <c r="S19" s="48"/>
      <c r="T19" s="48"/>
      <c r="U19" s="48"/>
      <c r="V19" s="48"/>
      <c r="W19" s="48"/>
      <c r="X19" s="75"/>
      <c r="Y19" s="75"/>
      <c r="Z19" s="48"/>
      <c r="AA19" s="48"/>
      <c r="AB19" s="48"/>
      <c r="AC19" s="48"/>
      <c r="AD19" s="48"/>
      <c r="AE19" s="43"/>
      <c r="AF19" s="75"/>
      <c r="AG19" s="48"/>
      <c r="AH19" s="42" t="s">
        <v>160</v>
      </c>
      <c r="AI19" s="64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129.95000000000002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75"/>
      <c r="D20" s="75"/>
      <c r="E20" s="48"/>
      <c r="F20" s="43"/>
      <c r="G20" s="48"/>
      <c r="H20" s="48"/>
      <c r="I20" s="48"/>
      <c r="J20" s="44" t="s">
        <v>138</v>
      </c>
      <c r="K20" s="75"/>
      <c r="L20" s="48"/>
      <c r="M20" s="48"/>
      <c r="N20" s="75"/>
      <c r="O20" s="44" t="s">
        <v>138</v>
      </c>
      <c r="P20" s="75"/>
      <c r="Q20" s="75"/>
      <c r="R20" s="75"/>
      <c r="S20" s="48"/>
      <c r="T20" s="48"/>
      <c r="U20" s="48"/>
      <c r="V20" s="48"/>
      <c r="W20" s="48"/>
      <c r="X20" s="75"/>
      <c r="Y20" s="75"/>
      <c r="Z20" s="48"/>
      <c r="AA20" s="48"/>
      <c r="AB20" s="48"/>
      <c r="AC20" s="48"/>
      <c r="AD20" s="48"/>
      <c r="AE20" s="43"/>
      <c r="AF20" s="75"/>
      <c r="AG20" s="48"/>
      <c r="AH20" s="42" t="s">
        <v>118</v>
      </c>
      <c r="AI20" s="64">
        <f t="shared" si="5"/>
        <v>141.55000000000001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75"/>
      <c r="D21" s="75"/>
      <c r="E21" s="48"/>
      <c r="F21" s="43"/>
      <c r="G21" s="48"/>
      <c r="H21" s="48"/>
      <c r="I21" s="48"/>
      <c r="J21" s="44" t="s">
        <v>138</v>
      </c>
      <c r="K21" s="75"/>
      <c r="L21" s="48"/>
      <c r="M21" s="48"/>
      <c r="N21" s="75"/>
      <c r="O21" s="44" t="s">
        <v>138</v>
      </c>
      <c r="P21" s="75"/>
      <c r="Q21" s="75"/>
      <c r="R21" s="75"/>
      <c r="S21" s="48"/>
      <c r="T21" s="48"/>
      <c r="U21" s="48"/>
      <c r="V21" s="48"/>
      <c r="W21" s="48"/>
      <c r="X21" s="75"/>
      <c r="Y21" s="75"/>
      <c r="Z21" s="48"/>
      <c r="AA21" s="48"/>
      <c r="AB21" s="48"/>
      <c r="AC21" s="48"/>
      <c r="AD21" s="48"/>
      <c r="AE21" s="44" t="s">
        <v>138</v>
      </c>
      <c r="AF21" s="75"/>
      <c r="AG21" s="48"/>
      <c r="AH21" s="42" t="s">
        <v>119</v>
      </c>
      <c r="AI21" s="64">
        <f t="shared" si="5"/>
        <v>134.1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75"/>
      <c r="D22" s="75"/>
      <c r="E22" s="48"/>
      <c r="F22" s="43"/>
      <c r="G22" s="48"/>
      <c r="H22" s="48"/>
      <c r="I22" s="48"/>
      <c r="J22" s="43"/>
      <c r="K22" s="75"/>
      <c r="L22" s="48"/>
      <c r="M22" s="44" t="s">
        <v>138</v>
      </c>
      <c r="N22" s="75"/>
      <c r="O22" s="44" t="s">
        <v>138</v>
      </c>
      <c r="P22" s="75"/>
      <c r="Q22" s="75"/>
      <c r="R22" s="75"/>
      <c r="S22" s="48"/>
      <c r="T22" s="48"/>
      <c r="U22" s="48"/>
      <c r="V22" s="48"/>
      <c r="W22" s="48"/>
      <c r="X22" s="75"/>
      <c r="Y22" s="75"/>
      <c r="Z22" s="48"/>
      <c r="AA22" s="48"/>
      <c r="AB22" s="48"/>
      <c r="AC22" s="48"/>
      <c r="AD22" s="48"/>
      <c r="AE22" s="44" t="s">
        <v>138</v>
      </c>
      <c r="AF22" s="75"/>
      <c r="AG22" s="48"/>
      <c r="AH22" s="42" t="s">
        <v>120</v>
      </c>
      <c r="AI22" s="64">
        <f t="shared" si="5"/>
        <v>134.1</v>
      </c>
      <c r="AJ22" s="40">
        <v>2</v>
      </c>
      <c r="AK22" s="64" t="e" vm="1">
        <v>#VALUE!</v>
      </c>
    </row>
    <row r="23" spans="1:37" ht="19.25" customHeight="1">
      <c r="A23" s="42"/>
      <c r="B23" s="48"/>
      <c r="C23" s="75"/>
      <c r="D23" s="75"/>
      <c r="E23" s="48"/>
      <c r="F23" s="43"/>
      <c r="G23" s="48"/>
      <c r="H23" s="48"/>
      <c r="I23" s="48"/>
      <c r="J23" s="43"/>
      <c r="K23" s="75"/>
      <c r="L23" s="48"/>
      <c r="M23" s="48"/>
      <c r="N23" s="75"/>
      <c r="O23" s="43"/>
      <c r="P23" s="75"/>
      <c r="Q23" s="75"/>
      <c r="R23" s="75"/>
      <c r="S23" s="48"/>
      <c r="T23" s="48"/>
      <c r="U23" s="48"/>
      <c r="V23" s="48"/>
      <c r="W23" s="48"/>
      <c r="X23" s="75"/>
      <c r="Y23" s="75"/>
      <c r="Z23" s="48"/>
      <c r="AA23" s="48"/>
      <c r="AB23" s="48"/>
      <c r="AC23" s="48"/>
      <c r="AD23" s="48"/>
      <c r="AE23" s="43"/>
      <c r="AF23" s="75"/>
      <c r="AG23" s="48"/>
      <c r="AH23" s="42"/>
      <c r="AI23" s="64"/>
      <c r="AJ23" s="40"/>
      <c r="AK23" s="64"/>
    </row>
    <row r="24" spans="1:37" ht="19.25" customHeight="1">
      <c r="A24" s="42" t="s">
        <v>211</v>
      </c>
      <c r="B24" s="48" t="s">
        <v>161</v>
      </c>
      <c r="C24" s="75"/>
      <c r="D24" s="75"/>
      <c r="E24" s="48"/>
      <c r="F24" s="43"/>
      <c r="G24" s="48"/>
      <c r="H24" s="48"/>
      <c r="I24" s="48"/>
      <c r="J24" s="44" t="s">
        <v>233</v>
      </c>
      <c r="K24" s="75"/>
      <c r="L24" s="48"/>
      <c r="M24" s="48"/>
      <c r="N24" s="75"/>
      <c r="O24" s="44" t="s">
        <v>233</v>
      </c>
      <c r="P24" s="75"/>
      <c r="Q24" s="75"/>
      <c r="R24" s="75"/>
      <c r="S24" s="48"/>
      <c r="T24" s="48"/>
      <c r="U24" s="48"/>
      <c r="V24" s="48"/>
      <c r="W24" s="48"/>
      <c r="X24" s="75"/>
      <c r="Y24" s="75"/>
      <c r="Z24" s="48"/>
      <c r="AA24" s="48"/>
      <c r="AB24" s="48"/>
      <c r="AC24" s="48"/>
      <c r="AD24" s="48"/>
      <c r="AE24" s="44" t="s">
        <v>233</v>
      </c>
      <c r="AF24" s="75"/>
      <c r="AG24" s="48"/>
      <c r="AH24" s="40"/>
      <c r="AI24" s="40"/>
      <c r="AJ24" s="40"/>
      <c r="AK24" s="40"/>
    </row>
    <row r="25" spans="1:37" ht="19.25" customHeight="1">
      <c r="A25" s="42"/>
      <c r="B25" s="48"/>
      <c r="C25" s="72"/>
      <c r="D25" s="72"/>
      <c r="E25" s="48"/>
      <c r="F25" s="63"/>
      <c r="G25" s="48"/>
      <c r="H25" s="48"/>
      <c r="I25" s="48"/>
      <c r="J25" s="63"/>
      <c r="K25" s="72"/>
      <c r="L25" s="48"/>
      <c r="M25" s="48"/>
      <c r="N25" s="72"/>
      <c r="O25" s="63"/>
      <c r="P25" s="72"/>
      <c r="Q25" s="72"/>
      <c r="R25" s="72"/>
      <c r="S25" s="48"/>
      <c r="T25" s="48"/>
      <c r="U25" s="48"/>
      <c r="V25" s="48"/>
      <c r="W25" s="48"/>
      <c r="X25" s="72"/>
      <c r="Y25" s="72"/>
      <c r="Z25" s="48"/>
      <c r="AA25" s="48"/>
      <c r="AB25" s="48"/>
      <c r="AC25" s="48"/>
      <c r="AD25" s="48"/>
      <c r="AE25" s="48"/>
      <c r="AF25" s="72"/>
      <c r="AG25" s="48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/>
      <c r="B26" s="48"/>
      <c r="C26" s="72"/>
      <c r="D26" s="72"/>
      <c r="E26" s="48"/>
      <c r="F26" s="63"/>
      <c r="G26" s="48"/>
      <c r="H26" s="48"/>
      <c r="I26" s="48"/>
      <c r="J26" s="63"/>
      <c r="K26" s="72"/>
      <c r="L26" s="48"/>
      <c r="M26" s="48"/>
      <c r="N26" s="72"/>
      <c r="O26" s="63"/>
      <c r="P26" s="72"/>
      <c r="Q26" s="72"/>
      <c r="R26" s="72"/>
      <c r="S26" s="48"/>
      <c r="T26" s="48"/>
      <c r="U26" s="48"/>
      <c r="V26" s="48"/>
      <c r="W26" s="48"/>
      <c r="X26" s="72"/>
      <c r="Y26" s="72"/>
      <c r="Z26" s="48"/>
      <c r="AA26" s="48"/>
      <c r="AB26" s="48"/>
      <c r="AC26" s="48"/>
      <c r="AD26" s="48"/>
      <c r="AE26" s="48"/>
      <c r="AF26" s="72"/>
      <c r="AG26" s="48"/>
      <c r="AH26" s="42"/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mergeCells count="4">
    <mergeCell ref="AB1:AG1"/>
    <mergeCell ref="AB2:AG2"/>
    <mergeCell ref="V2:W2"/>
    <mergeCell ref="X2:Z2"/>
  </mergeCells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2DDA5-042C-4FD2-856E-41A98E2B0B14}">
  <sheetPr codeName="Sheet33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A28" sqref="A28"/>
      <selection pane="topRight" activeCell="A28" sqref="A28"/>
      <selection pane="bottomLeft" activeCell="A28" sqref="A28"/>
      <selection pane="bottomRight" activeCell="A28" sqref="A28"/>
    </sheetView>
  </sheetViews>
  <sheetFormatPr defaultRowHeight="19.25" customHeight="1"/>
  <cols>
    <col min="1" max="1" bestFit="true" customWidth="true" width="12.4140625"/>
    <col min="2" max="2" bestFit="true" customWidth="true" width="6.83203125"/>
    <col min="3" max="33" customWidth="true" width="3.6640625"/>
    <col min="34" max="34" bestFit="true" customWidth="true" width="12.5"/>
    <col min="35" max="35" bestFit="true" customWidth="true" width="12.33203125"/>
    <col min="36" max="36" bestFit="true" customWidth="true" width="10.4140625"/>
    <col min="37" max="37" bestFit="true" customWidth="true" width="7.58203125"/>
    <col min="38" max="38" customWidth="true" width="3.33203125"/>
  </cols>
  <sheetData>
    <row r="1" spans="1:38" ht="19.25" customHeight="1" thickBot="1">
      <c r="A1" s="49">
        <v>46266</v>
      </c>
      <c r="AB1" s="79" t="s">
        <v>136</v>
      </c>
      <c r="AC1" s="79"/>
      <c r="AD1" s="79"/>
      <c r="AE1" s="79"/>
      <c r="AF1" s="79"/>
      <c r="AG1" s="79"/>
    </row>
    <row r="2" spans="1:38" ht="19.25" customHeight="1" thickBot="1">
      <c r="A2" s="51">
        <f>YEAR(A1)</f>
        <v>2026</v>
      </c>
      <c r="B2" s="52">
        <f>MONTH(A1)</f>
        <v>9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 s="0">
        <v>143</v>
      </c>
      <c r="V2" s="80" t="s">
        <v>144</v>
      </c>
      <c r="W2" s="81"/>
      <c r="X2" s="82" t="s">
        <v>145</v>
      </c>
      <c r="Y2" s="83"/>
      <c r="Z2" s="84"/>
      <c r="AB2" s="79" t="s">
        <v>146</v>
      </c>
      <c r="AC2" s="79"/>
      <c r="AD2" s="79"/>
      <c r="AE2" s="79"/>
      <c r="AF2" s="79"/>
      <c r="AG2" s="79"/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7">
        <f>DATEVALUE(A2&amp;"/"&amp;B2&amp;"/1")</f>
        <v>46266</v>
      </c>
      <c r="D4" s="77">
        <f>C4+1</f>
        <v>46267</v>
      </c>
      <c r="E4" s="77">
        <f t="shared" ref="E4:T5" si="0">D4+1</f>
        <v>46268</v>
      </c>
      <c r="F4" s="77">
        <f t="shared" si="0"/>
        <v>46269</v>
      </c>
      <c r="G4" s="66">
        <f t="shared" si="0"/>
        <v>46270</v>
      </c>
      <c r="H4" s="66">
        <f t="shared" si="0"/>
        <v>46271</v>
      </c>
      <c r="I4" s="77">
        <f t="shared" si="0"/>
        <v>46272</v>
      </c>
      <c r="J4" s="77">
        <f t="shared" si="0"/>
        <v>46273</v>
      </c>
      <c r="K4" s="77">
        <f t="shared" si="0"/>
        <v>46274</v>
      </c>
      <c r="L4" s="77">
        <f t="shared" si="0"/>
        <v>46275</v>
      </c>
      <c r="M4" s="77">
        <f t="shared" si="0"/>
        <v>46276</v>
      </c>
      <c r="N4" s="66">
        <f t="shared" si="0"/>
        <v>46277</v>
      </c>
      <c r="O4" s="66">
        <f t="shared" si="0"/>
        <v>46278</v>
      </c>
      <c r="P4" s="77">
        <f t="shared" si="0"/>
        <v>46279</v>
      </c>
      <c r="Q4" s="77">
        <f t="shared" si="0"/>
        <v>46280</v>
      </c>
      <c r="R4" s="77">
        <f t="shared" si="0"/>
        <v>46281</v>
      </c>
      <c r="S4" s="77">
        <f t="shared" si="0"/>
        <v>46282</v>
      </c>
      <c r="T4" s="77">
        <f t="shared" si="0"/>
        <v>46283</v>
      </c>
      <c r="U4" s="66">
        <f t="shared" ref="U4:AF5" si="1">T4+1</f>
        <v>46284</v>
      </c>
      <c r="V4" s="66">
        <f t="shared" si="1"/>
        <v>46285</v>
      </c>
      <c r="W4" s="66">
        <f t="shared" si="1"/>
        <v>46286</v>
      </c>
      <c r="X4" s="66">
        <f t="shared" si="1"/>
        <v>46287</v>
      </c>
      <c r="Y4" s="77">
        <f t="shared" si="1"/>
        <v>46288</v>
      </c>
      <c r="Z4" s="77">
        <f t="shared" si="1"/>
        <v>46289</v>
      </c>
      <c r="AA4" s="77">
        <f t="shared" si="1"/>
        <v>46290</v>
      </c>
      <c r="AB4" s="77">
        <f t="shared" si="1"/>
        <v>46291</v>
      </c>
      <c r="AC4" s="66">
        <f t="shared" si="1"/>
        <v>46292</v>
      </c>
      <c r="AD4" s="77">
        <f t="shared" si="1"/>
        <v>46293</v>
      </c>
      <c r="AE4" s="77">
        <f t="shared" si="1"/>
        <v>46294</v>
      </c>
      <c r="AF4" s="77">
        <f t="shared" si="1"/>
        <v>46295</v>
      </c>
      <c r="AG4" s="77"/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8">
        <f>C4</f>
        <v>46266</v>
      </c>
      <c r="D5" s="78">
        <f>C5+1</f>
        <v>46267</v>
      </c>
      <c r="E5" s="78">
        <f t="shared" si="0"/>
        <v>46268</v>
      </c>
      <c r="F5" s="78">
        <f t="shared" si="0"/>
        <v>46269</v>
      </c>
      <c r="G5" s="67">
        <f t="shared" si="0"/>
        <v>46270</v>
      </c>
      <c r="H5" s="67">
        <f t="shared" si="0"/>
        <v>46271</v>
      </c>
      <c r="I5" s="78">
        <f t="shared" si="0"/>
        <v>46272</v>
      </c>
      <c r="J5" s="78">
        <f t="shared" si="0"/>
        <v>46273</v>
      </c>
      <c r="K5" s="78">
        <f t="shared" si="0"/>
        <v>46274</v>
      </c>
      <c r="L5" s="78">
        <f t="shared" si="0"/>
        <v>46275</v>
      </c>
      <c r="M5" s="78">
        <f t="shared" si="0"/>
        <v>46276</v>
      </c>
      <c r="N5" s="67">
        <f t="shared" si="0"/>
        <v>46277</v>
      </c>
      <c r="O5" s="67">
        <f t="shared" si="0"/>
        <v>46278</v>
      </c>
      <c r="P5" s="78">
        <f t="shared" si="0"/>
        <v>46279</v>
      </c>
      <c r="Q5" s="78">
        <f t="shared" si="0"/>
        <v>46280</v>
      </c>
      <c r="R5" s="78">
        <f t="shared" si="0"/>
        <v>46281</v>
      </c>
      <c r="S5" s="78">
        <f t="shared" si="0"/>
        <v>46282</v>
      </c>
      <c r="T5" s="78">
        <f t="shared" si="0"/>
        <v>46283</v>
      </c>
      <c r="U5" s="67">
        <f t="shared" si="1"/>
        <v>46284</v>
      </c>
      <c r="V5" s="67">
        <f t="shared" si="1"/>
        <v>46285</v>
      </c>
      <c r="W5" s="67">
        <f t="shared" si="1"/>
        <v>46286</v>
      </c>
      <c r="X5" s="67">
        <f t="shared" si="1"/>
        <v>46287</v>
      </c>
      <c r="Y5" s="78">
        <f t="shared" si="1"/>
        <v>46288</v>
      </c>
      <c r="Z5" s="78">
        <f t="shared" si="1"/>
        <v>46289</v>
      </c>
      <c r="AA5" s="78">
        <f t="shared" si="1"/>
        <v>46290</v>
      </c>
      <c r="AB5" s="78">
        <f t="shared" si="1"/>
        <v>46291</v>
      </c>
      <c r="AC5" s="67">
        <f t="shared" si="1"/>
        <v>46292</v>
      </c>
      <c r="AD5" s="78">
        <f t="shared" si="1"/>
        <v>46293</v>
      </c>
      <c r="AE5" s="78">
        <f t="shared" si="1"/>
        <v>46294</v>
      </c>
      <c r="AF5" s="78">
        <f t="shared" si="1"/>
        <v>46295</v>
      </c>
      <c r="AG5" s="78"/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48"/>
      <c r="D6" s="48"/>
      <c r="E6" s="48"/>
      <c r="F6" s="48"/>
      <c r="G6" s="68"/>
      <c r="H6" s="68"/>
      <c r="I6" s="48"/>
      <c r="J6" s="48"/>
      <c r="K6" s="48"/>
      <c r="L6" s="48"/>
      <c r="M6" s="48"/>
      <c r="N6" s="68"/>
      <c r="O6" s="68"/>
      <c r="P6" s="48"/>
      <c r="Q6" s="48"/>
      <c r="R6" s="48"/>
      <c r="S6" s="48"/>
      <c r="T6" s="48"/>
      <c r="U6" s="68"/>
      <c r="V6" s="68"/>
      <c r="W6" s="68"/>
      <c r="X6" s="68"/>
      <c r="Y6" s="48"/>
      <c r="Z6" s="48"/>
      <c r="AA6" s="48"/>
      <c r="AB6" s="48"/>
      <c r="AC6" s="68"/>
      <c r="AD6" s="48"/>
      <c r="AE6" s="48"/>
      <c r="AF6" s="48"/>
      <c r="AG6" s="48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0">
        <v>0</v>
      </c>
      <c r="AK6" s="40"/>
    </row>
    <row r="7" spans="1:38" ht="19.25" customHeight="1">
      <c r="A7" s="42"/>
      <c r="B7" s="48"/>
      <c r="C7" s="48"/>
      <c r="D7" s="48"/>
      <c r="E7" s="48"/>
      <c r="F7" s="48"/>
      <c r="G7" s="68"/>
      <c r="H7" s="68"/>
      <c r="I7" s="48"/>
      <c r="J7" s="48"/>
      <c r="K7" s="48"/>
      <c r="L7" s="48"/>
      <c r="M7" s="48"/>
      <c r="N7" s="68"/>
      <c r="O7" s="68"/>
      <c r="P7" s="48"/>
      <c r="Q7" s="48"/>
      <c r="R7" s="48"/>
      <c r="S7" s="48"/>
      <c r="T7" s="48"/>
      <c r="U7" s="68"/>
      <c r="V7" s="68"/>
      <c r="W7" s="68"/>
      <c r="X7" s="68"/>
      <c r="Y7" s="48"/>
      <c r="Z7" s="48"/>
      <c r="AA7" s="48"/>
      <c r="AB7" s="48"/>
      <c r="AC7" s="68"/>
      <c r="AD7" s="48"/>
      <c r="AE7" s="48"/>
      <c r="AF7" s="48"/>
      <c r="AG7" s="48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48"/>
      <c r="D8" s="48"/>
      <c r="E8" s="48"/>
      <c r="F8" s="48"/>
      <c r="G8" s="68"/>
      <c r="H8" s="68"/>
      <c r="I8" s="48"/>
      <c r="J8" s="48"/>
      <c r="K8" s="48"/>
      <c r="L8" s="48"/>
      <c r="M8" s="48"/>
      <c r="N8" s="68"/>
      <c r="O8" s="68"/>
      <c r="P8" s="48"/>
      <c r="Q8" s="48"/>
      <c r="R8" s="48"/>
      <c r="S8" s="48"/>
      <c r="T8" s="48"/>
      <c r="U8" s="68"/>
      <c r="V8" s="68"/>
      <c r="W8" s="68"/>
      <c r="X8" s="68"/>
      <c r="Y8" s="44" t="s">
        <v>138</v>
      </c>
      <c r="Z8" s="48"/>
      <c r="AA8" s="48"/>
      <c r="AB8" s="48"/>
      <c r="AC8" s="68"/>
      <c r="AD8" s="48"/>
      <c r="AE8" s="48"/>
      <c r="AF8" s="48"/>
      <c r="AG8" s="48"/>
      <c r="AH8" s="42" t="s">
        <v>114</v>
      </c>
      <c r="AI8" s="64">
        <f t="shared" si="2"/>
        <v>149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48"/>
      <c r="D9" s="48"/>
      <c r="E9" s="48"/>
      <c r="F9" s="48"/>
      <c r="G9" s="68"/>
      <c r="H9" s="68"/>
      <c r="I9" s="48"/>
      <c r="J9" s="48"/>
      <c r="K9" s="48"/>
      <c r="L9" s="48"/>
      <c r="M9" s="48"/>
      <c r="N9" s="68"/>
      <c r="O9" s="68"/>
      <c r="P9" s="48"/>
      <c r="Q9" s="48"/>
      <c r="R9" s="48"/>
      <c r="S9" s="48"/>
      <c r="T9" s="48"/>
      <c r="U9" s="68"/>
      <c r="V9" s="68"/>
      <c r="W9" s="68"/>
      <c r="X9" s="68"/>
      <c r="Y9" s="44" t="s">
        <v>138</v>
      </c>
      <c r="Z9" s="48"/>
      <c r="AA9" s="48"/>
      <c r="AB9" s="48"/>
      <c r="AC9" s="68"/>
      <c r="AD9" s="48"/>
      <c r="AE9" s="48"/>
      <c r="AF9" s="48"/>
      <c r="AG9" s="48"/>
      <c r="AH9" s="42" t="s">
        <v>116</v>
      </c>
      <c r="AI9" s="64">
        <f t="shared" si="2"/>
        <v>149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48"/>
      <c r="D10" s="48"/>
      <c r="E10" s="48"/>
      <c r="F10" s="48"/>
      <c r="G10" s="68"/>
      <c r="H10" s="68"/>
      <c r="I10" s="48"/>
      <c r="J10" s="48"/>
      <c r="K10" s="48"/>
      <c r="L10" s="48"/>
      <c r="M10" s="48"/>
      <c r="N10" s="68"/>
      <c r="O10" s="68"/>
      <c r="P10" s="48"/>
      <c r="Q10" s="48"/>
      <c r="R10" s="48"/>
      <c r="S10" s="48"/>
      <c r="T10" s="48"/>
      <c r="U10" s="68"/>
      <c r="V10" s="68"/>
      <c r="W10" s="68"/>
      <c r="X10" s="68"/>
      <c r="Y10" s="48"/>
      <c r="Z10" s="48"/>
      <c r="AA10" s="48"/>
      <c r="AB10" s="48"/>
      <c r="AC10" s="68"/>
      <c r="AD10" s="48"/>
      <c r="AE10" s="48"/>
      <c r="AF10" s="48"/>
      <c r="AG10" s="48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48"/>
      <c r="D11" s="48"/>
      <c r="E11" s="48"/>
      <c r="F11" s="48"/>
      <c r="G11" s="68"/>
      <c r="H11" s="68"/>
      <c r="I11" s="48"/>
      <c r="J11" s="48"/>
      <c r="K11" s="48"/>
      <c r="L11" s="48"/>
      <c r="M11" s="48"/>
      <c r="N11" s="68"/>
      <c r="O11" s="68"/>
      <c r="P11" s="48"/>
      <c r="Q11" s="48"/>
      <c r="R11" s="44" t="s">
        <v>138</v>
      </c>
      <c r="S11" s="48"/>
      <c r="T11" s="48"/>
      <c r="U11" s="68"/>
      <c r="V11" s="68"/>
      <c r="W11" s="68"/>
      <c r="X11" s="68"/>
      <c r="Y11" s="48"/>
      <c r="Z11" s="48"/>
      <c r="AA11" s="48"/>
      <c r="AB11" s="48"/>
      <c r="AC11" s="68"/>
      <c r="AD11" s="48"/>
      <c r="AE11" s="48"/>
      <c r="AF11" s="48"/>
      <c r="AG11" s="48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149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48"/>
      <c r="D12" s="48"/>
      <c r="E12" s="48"/>
      <c r="F12" s="48"/>
      <c r="G12" s="68"/>
      <c r="H12" s="68"/>
      <c r="I12" s="48"/>
      <c r="J12" s="48"/>
      <c r="K12" s="48"/>
      <c r="L12" s="48"/>
      <c r="M12" s="48"/>
      <c r="N12" s="68"/>
      <c r="O12" s="68"/>
      <c r="P12" s="48"/>
      <c r="Q12" s="48"/>
      <c r="R12" s="48"/>
      <c r="S12" s="44" t="s">
        <v>138</v>
      </c>
      <c r="T12" s="48"/>
      <c r="U12" s="68"/>
      <c r="V12" s="68"/>
      <c r="W12" s="68"/>
      <c r="X12" s="68"/>
      <c r="Y12" s="48"/>
      <c r="Z12" s="48"/>
      <c r="AA12" s="48"/>
      <c r="AB12" s="48"/>
      <c r="AC12" s="68"/>
      <c r="AD12" s="48"/>
      <c r="AE12" s="48"/>
      <c r="AF12" s="48"/>
      <c r="AG12" s="48"/>
      <c r="AH12" s="42" t="s">
        <v>108</v>
      </c>
      <c r="AI12" s="64">
        <f t="shared" si="3"/>
        <v>149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48"/>
      <c r="D13" s="48"/>
      <c r="E13" s="48"/>
      <c r="F13" s="48"/>
      <c r="G13" s="68"/>
      <c r="H13" s="68"/>
      <c r="I13" s="48"/>
      <c r="J13" s="48"/>
      <c r="K13" s="48"/>
      <c r="L13" s="48"/>
      <c r="M13" s="48"/>
      <c r="N13" s="68"/>
      <c r="O13" s="68"/>
      <c r="P13" s="48"/>
      <c r="Q13" s="48"/>
      <c r="R13" s="48"/>
      <c r="S13" s="48"/>
      <c r="T13" s="48"/>
      <c r="U13" s="68"/>
      <c r="V13" s="68"/>
      <c r="W13" s="68"/>
      <c r="X13" s="68"/>
      <c r="Y13" s="48"/>
      <c r="Z13" s="48"/>
      <c r="AA13" s="48"/>
      <c r="AB13" s="48"/>
      <c r="AC13" s="68"/>
      <c r="AD13" s="48"/>
      <c r="AE13" s="48"/>
      <c r="AF13" s="48"/>
      <c r="AG13" s="48"/>
      <c r="AH13" s="42" t="s">
        <v>110</v>
      </c>
      <c r="AI13" s="64">
        <f t="shared" si="3"/>
        <v>156.45000000000002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48"/>
      <c r="D14" s="48"/>
      <c r="E14" s="48"/>
      <c r="F14" s="48"/>
      <c r="G14" s="68"/>
      <c r="H14" s="68"/>
      <c r="I14" s="48"/>
      <c r="J14" s="48"/>
      <c r="K14" s="48"/>
      <c r="L14" s="48"/>
      <c r="M14" s="48"/>
      <c r="N14" s="68"/>
      <c r="O14" s="68"/>
      <c r="P14" s="48"/>
      <c r="Q14" s="48"/>
      <c r="R14" s="48"/>
      <c r="S14" s="48"/>
      <c r="T14" s="48"/>
      <c r="U14" s="68"/>
      <c r="V14" s="68"/>
      <c r="W14" s="68"/>
      <c r="X14" s="68"/>
      <c r="Y14" s="48"/>
      <c r="Z14" s="48"/>
      <c r="AA14" s="48"/>
      <c r="AB14" s="48"/>
      <c r="AC14" s="68"/>
      <c r="AD14" s="48"/>
      <c r="AE14" s="48"/>
      <c r="AF14" s="48"/>
      <c r="AG14" s="48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48"/>
      <c r="D15" s="48"/>
      <c r="E15" s="48"/>
      <c r="F15" s="48"/>
      <c r="G15" s="68"/>
      <c r="H15" s="68"/>
      <c r="I15" s="48"/>
      <c r="J15" s="48"/>
      <c r="K15" s="48"/>
      <c r="L15" s="48"/>
      <c r="M15" s="48"/>
      <c r="N15" s="68"/>
      <c r="O15" s="68"/>
      <c r="P15" s="48"/>
      <c r="Q15" s="48"/>
      <c r="R15" s="48"/>
      <c r="S15" s="48"/>
      <c r="T15" s="48"/>
      <c r="U15" s="68"/>
      <c r="V15" s="68"/>
      <c r="W15" s="68"/>
      <c r="X15" s="68"/>
      <c r="Y15" s="48"/>
      <c r="Z15" s="48"/>
      <c r="AA15" s="48"/>
      <c r="AB15" s="48"/>
      <c r="AC15" s="68"/>
      <c r="AD15" s="48"/>
      <c r="AE15" s="48"/>
      <c r="AF15" s="48"/>
      <c r="AG15" s="48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48"/>
      <c r="D16" s="48"/>
      <c r="E16" s="48"/>
      <c r="F16" s="44" t="s">
        <v>233</v>
      </c>
      <c r="G16" s="68"/>
      <c r="H16" s="68"/>
      <c r="I16" s="48"/>
      <c r="J16" s="48"/>
      <c r="K16" s="48"/>
      <c r="L16" s="48"/>
      <c r="M16" s="48"/>
      <c r="N16" s="68"/>
      <c r="O16" s="68"/>
      <c r="P16" s="48"/>
      <c r="Q16" s="48"/>
      <c r="R16" s="48"/>
      <c r="S16" s="48"/>
      <c r="T16" s="48"/>
      <c r="U16" s="68"/>
      <c r="V16" s="68"/>
      <c r="W16" s="68"/>
      <c r="X16" s="68"/>
      <c r="Y16" s="48"/>
      <c r="Z16" s="48"/>
      <c r="AA16" s="48"/>
      <c r="AB16" s="48"/>
      <c r="AC16" s="68"/>
      <c r="AD16" s="48"/>
      <c r="AE16" s="48"/>
      <c r="AF16" s="48"/>
      <c r="AG16" s="48"/>
      <c r="AH16" s="42" t="s">
        <v>158</v>
      </c>
      <c r="AI16" s="64">
        <f t="shared" si="4"/>
        <v>149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48"/>
      <c r="D17" s="48"/>
      <c r="E17" s="48"/>
      <c r="F17" s="48"/>
      <c r="G17" s="68"/>
      <c r="H17" s="68"/>
      <c r="I17" s="48"/>
      <c r="J17" s="48"/>
      <c r="K17" s="48"/>
      <c r="L17" s="48"/>
      <c r="M17" s="48"/>
      <c r="N17" s="68"/>
      <c r="O17" s="68"/>
      <c r="P17" s="48"/>
      <c r="Q17" s="48"/>
      <c r="R17" s="48"/>
      <c r="S17" s="48"/>
      <c r="T17" s="48"/>
      <c r="U17" s="68"/>
      <c r="V17" s="68"/>
      <c r="W17" s="68"/>
      <c r="X17" s="68"/>
      <c r="Y17" s="48"/>
      <c r="Z17" s="48"/>
      <c r="AA17" s="48"/>
      <c r="AB17" s="48"/>
      <c r="AC17" s="68"/>
      <c r="AD17" s="48"/>
      <c r="AE17" s="48"/>
      <c r="AF17" s="48"/>
      <c r="AG17" s="48"/>
      <c r="AH17" s="42" t="s">
        <v>113</v>
      </c>
      <c r="AI17" s="64">
        <f t="shared" si="4"/>
        <v>156.45000000000002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48"/>
      <c r="D18" s="48"/>
      <c r="E18" s="48"/>
      <c r="F18" s="48"/>
      <c r="G18" s="68"/>
      <c r="H18" s="68"/>
      <c r="I18" s="48"/>
      <c r="J18" s="48"/>
      <c r="K18" s="48"/>
      <c r="L18" s="48"/>
      <c r="M18" s="48"/>
      <c r="N18" s="68"/>
      <c r="O18" s="68"/>
      <c r="P18" s="48"/>
      <c r="Q18" s="48"/>
      <c r="R18" s="48"/>
      <c r="S18" s="48"/>
      <c r="T18" s="48"/>
      <c r="U18" s="68"/>
      <c r="V18" s="68"/>
      <c r="W18" s="68"/>
      <c r="X18" s="68"/>
      <c r="Y18" s="48"/>
      <c r="Z18" s="48"/>
      <c r="AA18" s="48"/>
      <c r="AB18" s="48"/>
      <c r="AC18" s="68"/>
      <c r="AD18" s="48"/>
      <c r="AE18" s="48"/>
      <c r="AF18" s="48"/>
      <c r="AG18" s="48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48"/>
      <c r="D19" s="48"/>
      <c r="E19" s="48"/>
      <c r="F19" s="48"/>
      <c r="G19" s="68"/>
      <c r="H19" s="68"/>
      <c r="I19" s="48"/>
      <c r="J19" s="48"/>
      <c r="K19" s="48"/>
      <c r="L19" s="48"/>
      <c r="M19" s="48"/>
      <c r="N19" s="68"/>
      <c r="O19" s="68"/>
      <c r="P19" s="48"/>
      <c r="Q19" s="48"/>
      <c r="R19" s="48"/>
      <c r="S19" s="48"/>
      <c r="T19" s="48"/>
      <c r="U19" s="68"/>
      <c r="V19" s="68"/>
      <c r="W19" s="68"/>
      <c r="X19" s="68"/>
      <c r="Y19" s="48"/>
      <c r="Z19" s="48"/>
      <c r="AA19" s="48"/>
      <c r="AB19" s="48"/>
      <c r="AC19" s="68"/>
      <c r="AD19" s="48"/>
      <c r="AE19" s="48"/>
      <c r="AF19" s="48"/>
      <c r="AG19" s="48"/>
      <c r="AH19" s="42" t="s">
        <v>160</v>
      </c>
      <c r="AI19" s="64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48"/>
      <c r="D20" s="48"/>
      <c r="E20" s="48"/>
      <c r="F20" s="48"/>
      <c r="G20" s="68"/>
      <c r="H20" s="68"/>
      <c r="I20" s="48"/>
      <c r="J20" s="48"/>
      <c r="K20" s="48"/>
      <c r="L20" s="48"/>
      <c r="M20" s="48"/>
      <c r="N20" s="68"/>
      <c r="O20" s="68"/>
      <c r="P20" s="48"/>
      <c r="Q20" s="48"/>
      <c r="R20" s="48"/>
      <c r="S20" s="48"/>
      <c r="T20" s="48"/>
      <c r="U20" s="68"/>
      <c r="V20" s="68"/>
      <c r="W20" s="68"/>
      <c r="X20" s="68"/>
      <c r="Y20" s="48"/>
      <c r="Z20" s="48"/>
      <c r="AA20" s="48"/>
      <c r="AB20" s="48"/>
      <c r="AC20" s="68"/>
      <c r="AD20" s="48"/>
      <c r="AE20" s="48"/>
      <c r="AF20" s="48"/>
      <c r="AG20" s="48"/>
      <c r="AH20" s="42" t="s">
        <v>118</v>
      </c>
      <c r="AI20" s="64">
        <f t="shared" si="5"/>
        <v>156.45000000000002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48"/>
      <c r="D21" s="48"/>
      <c r="E21" s="48"/>
      <c r="F21" s="48"/>
      <c r="G21" s="68"/>
      <c r="H21" s="68"/>
      <c r="I21" s="48"/>
      <c r="J21" s="48"/>
      <c r="K21" s="48"/>
      <c r="L21" s="48"/>
      <c r="M21" s="48"/>
      <c r="N21" s="68"/>
      <c r="O21" s="68"/>
      <c r="P21" s="48"/>
      <c r="Q21" s="48"/>
      <c r="R21" s="48"/>
      <c r="S21" s="48"/>
      <c r="T21" s="48"/>
      <c r="U21" s="68"/>
      <c r="V21" s="68"/>
      <c r="W21" s="68"/>
      <c r="X21" s="68"/>
      <c r="Y21" s="48"/>
      <c r="Z21" s="48"/>
      <c r="AA21" s="48"/>
      <c r="AB21" s="48"/>
      <c r="AC21" s="68"/>
      <c r="AD21" s="48"/>
      <c r="AE21" s="48"/>
      <c r="AF21" s="48"/>
      <c r="AG21" s="48"/>
      <c r="AH21" s="42" t="s">
        <v>119</v>
      </c>
      <c r="AI21" s="64">
        <f t="shared" si="5"/>
        <v>156.45000000000002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48"/>
      <c r="D22" s="48"/>
      <c r="E22" s="48"/>
      <c r="F22" s="48"/>
      <c r="G22" s="68"/>
      <c r="H22" s="68"/>
      <c r="I22" s="48"/>
      <c r="J22" s="48"/>
      <c r="K22" s="48"/>
      <c r="L22" s="48"/>
      <c r="M22" s="48"/>
      <c r="N22" s="68"/>
      <c r="O22" s="68"/>
      <c r="P22" s="48"/>
      <c r="Q22" s="48"/>
      <c r="R22" s="48"/>
      <c r="S22" s="48"/>
      <c r="T22" s="48"/>
      <c r="U22" s="68"/>
      <c r="V22" s="68"/>
      <c r="W22" s="68"/>
      <c r="X22" s="68"/>
      <c r="Y22" s="48"/>
      <c r="Z22" s="48"/>
      <c r="AA22" s="48"/>
      <c r="AB22" s="48"/>
      <c r="AC22" s="68"/>
      <c r="AD22" s="48"/>
      <c r="AE22" s="48"/>
      <c r="AF22" s="48"/>
      <c r="AG22" s="48"/>
      <c r="AH22" s="42" t="s">
        <v>120</v>
      </c>
      <c r="AI22" s="64">
        <f t="shared" si="5"/>
        <v>156.45000000000002</v>
      </c>
      <c r="AJ22" s="40">
        <v>2</v>
      </c>
      <c r="AK22" s="64" t="e" vm="1">
        <v>#VALUE!</v>
      </c>
    </row>
    <row r="23" spans="1:37" ht="19.25" customHeight="1">
      <c r="A23" s="42"/>
      <c r="B23" s="48"/>
      <c r="C23" s="48"/>
      <c r="D23" s="48"/>
      <c r="E23" s="48"/>
      <c r="F23" s="48"/>
      <c r="G23" s="68"/>
      <c r="H23" s="68"/>
      <c r="I23" s="48"/>
      <c r="J23" s="48"/>
      <c r="K23" s="48"/>
      <c r="L23" s="48"/>
      <c r="M23" s="48"/>
      <c r="N23" s="68"/>
      <c r="O23" s="68"/>
      <c r="P23" s="48"/>
      <c r="Q23" s="48"/>
      <c r="R23" s="48"/>
      <c r="S23" s="48"/>
      <c r="T23" s="48"/>
      <c r="U23" s="68"/>
      <c r="V23" s="68"/>
      <c r="W23" s="68"/>
      <c r="X23" s="68"/>
      <c r="Y23" s="48"/>
      <c r="Z23" s="48"/>
      <c r="AA23" s="48"/>
      <c r="AB23" s="48"/>
      <c r="AC23" s="68"/>
      <c r="AD23" s="48"/>
      <c r="AE23" s="48"/>
      <c r="AF23" s="48"/>
      <c r="AG23" s="48"/>
      <c r="AH23" s="42"/>
      <c r="AI23" s="64"/>
      <c r="AJ23" s="40"/>
      <c r="AK23" s="64"/>
    </row>
    <row r="24" spans="1:37" ht="19.25" customHeight="1">
      <c r="A24" s="42" t="s">
        <v>211</v>
      </c>
      <c r="B24" s="48" t="s">
        <v>161</v>
      </c>
      <c r="C24" s="48"/>
      <c r="D24" s="48"/>
      <c r="E24" s="48"/>
      <c r="F24" s="48"/>
      <c r="G24" s="68"/>
      <c r="H24" s="68"/>
      <c r="I24" s="48"/>
      <c r="J24" s="48"/>
      <c r="K24" s="48"/>
      <c r="L24" s="48"/>
      <c r="M24" s="48"/>
      <c r="N24" s="68"/>
      <c r="O24" s="68"/>
      <c r="P24" s="48"/>
      <c r="Q24" s="48"/>
      <c r="R24" s="48"/>
      <c r="S24" s="48"/>
      <c r="T24" s="48"/>
      <c r="U24" s="68"/>
      <c r="V24" s="68"/>
      <c r="W24" s="68"/>
      <c r="X24" s="68"/>
      <c r="Y24" s="48"/>
      <c r="Z24" s="48"/>
      <c r="AA24" s="48"/>
      <c r="AB24" s="48"/>
      <c r="AC24" s="68"/>
      <c r="AD24" s="48"/>
      <c r="AE24" s="48"/>
      <c r="AF24" s="48"/>
      <c r="AG24" s="48"/>
      <c r="AH24" s="42" t="s">
        <v>211</v>
      </c>
      <c r="AI24" s="40"/>
      <c r="AJ24" s="40"/>
      <c r="AK24" s="40"/>
    </row>
    <row r="25" spans="1:37" ht="19.25" customHeight="1">
      <c r="A25" s="42"/>
      <c r="B25" s="48"/>
      <c r="C25" s="48"/>
      <c r="D25" s="48"/>
      <c r="E25" s="48"/>
      <c r="F25" s="48"/>
      <c r="G25" s="62"/>
      <c r="H25" s="62"/>
      <c r="I25" s="48"/>
      <c r="J25" s="48"/>
      <c r="K25" s="48"/>
      <c r="L25" s="48"/>
      <c r="M25" s="48"/>
      <c r="N25" s="62"/>
      <c r="O25" s="62"/>
      <c r="P25" s="48"/>
      <c r="Q25" s="48"/>
      <c r="R25" s="48"/>
      <c r="S25" s="48"/>
      <c r="T25" s="48"/>
      <c r="U25" s="62"/>
      <c r="V25" s="62"/>
      <c r="W25" s="62"/>
      <c r="X25" s="62"/>
      <c r="Y25" s="48"/>
      <c r="Z25" s="48"/>
      <c r="AA25" s="48"/>
      <c r="AB25" s="48"/>
      <c r="AC25" s="62"/>
      <c r="AD25" s="48"/>
      <c r="AE25" s="48"/>
      <c r="AF25" s="48"/>
      <c r="AG25" s="48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/>
      <c r="B26" s="48"/>
      <c r="C26" s="48"/>
      <c r="D26" s="48"/>
      <c r="E26" s="48"/>
      <c r="F26" s="48"/>
      <c r="G26" s="62"/>
      <c r="H26" s="62"/>
      <c r="I26" s="48"/>
      <c r="J26" s="48"/>
      <c r="K26" s="48"/>
      <c r="L26" s="48"/>
      <c r="M26" s="48"/>
      <c r="N26" s="62"/>
      <c r="O26" s="62"/>
      <c r="P26" s="48"/>
      <c r="Q26" s="48"/>
      <c r="R26" s="48"/>
      <c r="S26" s="48"/>
      <c r="T26" s="48"/>
      <c r="U26" s="62"/>
      <c r="V26" s="62"/>
      <c r="W26" s="62"/>
      <c r="X26" s="62"/>
      <c r="Y26" s="48"/>
      <c r="Z26" s="48"/>
      <c r="AA26" s="48"/>
      <c r="AB26" s="48"/>
      <c r="AC26" s="62"/>
      <c r="AD26" s="48"/>
      <c r="AE26" s="48"/>
      <c r="AF26" s="48"/>
      <c r="AG26" s="48"/>
      <c r="AH26" s="42"/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54906-A348-483F-9A82-C7C4738E8C3B}">
  <sheetPr codeName="Sheet34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A28" sqref="A28"/>
      <selection pane="topRight" activeCell="A28" sqref="A28"/>
      <selection pane="bottomLeft" activeCell="A28" sqref="A28"/>
      <selection pane="bottomRight" activeCell="A28" sqref="A28"/>
    </sheetView>
  </sheetViews>
  <sheetFormatPr defaultRowHeight="19.25" customHeight="1"/>
  <cols>
    <col min="1" max="1" bestFit="true" customWidth="true" width="12.4140625"/>
    <col min="2" max="2" bestFit="true" customWidth="true" width="8.1640625"/>
    <col min="3" max="33" customWidth="true" width="3.6640625"/>
    <col min="34" max="34" bestFit="true" customWidth="true" width="12.5"/>
    <col min="35" max="35" bestFit="true" customWidth="true" width="12.33203125"/>
    <col min="36" max="36" bestFit="true" customWidth="true" width="10.4140625"/>
    <col min="37" max="37" bestFit="true" customWidth="true" width="7.58203125"/>
    <col min="38" max="38" customWidth="true" width="3.33203125"/>
  </cols>
  <sheetData>
    <row r="1" spans="1:38" ht="19.25" customHeight="1" thickBot="1">
      <c r="A1" s="49">
        <v>46296</v>
      </c>
      <c r="AB1" s="79" t="s">
        <v>136</v>
      </c>
      <c r="AC1" s="79"/>
      <c r="AD1" s="79"/>
      <c r="AE1" s="79"/>
      <c r="AF1" s="79"/>
      <c r="AG1" s="79"/>
    </row>
    <row r="2" spans="1:38" ht="19.25" customHeight="1" thickBot="1">
      <c r="A2" s="51">
        <f>YEAR(A1)</f>
        <v>2026</v>
      </c>
      <c r="B2" s="76">
        <f>MONTH(A1)</f>
        <v>10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 s="0">
        <v>143</v>
      </c>
      <c r="V2" s="80" t="s">
        <v>144</v>
      </c>
      <c r="W2" s="81"/>
      <c r="X2" s="82" t="s">
        <v>145</v>
      </c>
      <c r="Y2" s="83"/>
      <c r="Z2" s="84"/>
      <c r="AB2" s="79" t="s">
        <v>146</v>
      </c>
      <c r="AC2" s="79"/>
      <c r="AD2" s="79"/>
      <c r="AE2" s="79"/>
      <c r="AF2" s="79"/>
      <c r="AG2" s="79"/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7">
        <f>DATEVALUE(A2&amp;"/"&amp;B2&amp;"/1")</f>
        <v>46296</v>
      </c>
      <c r="D4" s="77">
        <f>C4+1</f>
        <v>46297</v>
      </c>
      <c r="E4" s="66">
        <f t="shared" ref="E4:T5" si="0">D4+1</f>
        <v>46298</v>
      </c>
      <c r="F4" s="66">
        <f t="shared" si="0"/>
        <v>46299</v>
      </c>
      <c r="G4" s="77">
        <f t="shared" si="0"/>
        <v>46300</v>
      </c>
      <c r="H4" s="77">
        <f t="shared" si="0"/>
        <v>46301</v>
      </c>
      <c r="I4" s="77">
        <f t="shared" si="0"/>
        <v>46302</v>
      </c>
      <c r="J4" s="77">
        <f t="shared" si="0"/>
        <v>46303</v>
      </c>
      <c r="K4" s="77">
        <f t="shared" si="0"/>
        <v>46304</v>
      </c>
      <c r="L4" s="66">
        <f t="shared" si="0"/>
        <v>46305</v>
      </c>
      <c r="M4" s="66">
        <f t="shared" si="0"/>
        <v>46306</v>
      </c>
      <c r="N4" s="66">
        <f t="shared" si="0"/>
        <v>46307</v>
      </c>
      <c r="O4" s="77">
        <f t="shared" si="0"/>
        <v>46308</v>
      </c>
      <c r="P4" s="77">
        <f t="shared" si="0"/>
        <v>46309</v>
      </c>
      <c r="Q4" s="77">
        <f t="shared" si="0"/>
        <v>46310</v>
      </c>
      <c r="R4" s="77">
        <f t="shared" si="0"/>
        <v>46311</v>
      </c>
      <c r="S4" s="77">
        <f t="shared" si="0"/>
        <v>46312</v>
      </c>
      <c r="T4" s="66">
        <f t="shared" si="0"/>
        <v>46313</v>
      </c>
      <c r="U4" s="77">
        <f t="shared" ref="U4:AF5" si="1">T4+1</f>
        <v>46314</v>
      </c>
      <c r="V4" s="77">
        <f t="shared" si="1"/>
        <v>46315</v>
      </c>
      <c r="W4" s="77">
        <f t="shared" si="1"/>
        <v>46316</v>
      </c>
      <c r="X4" s="77">
        <f t="shared" si="1"/>
        <v>46317</v>
      </c>
      <c r="Y4" s="77">
        <f t="shared" si="1"/>
        <v>46318</v>
      </c>
      <c r="Z4" s="66">
        <f t="shared" si="1"/>
        <v>46319</v>
      </c>
      <c r="AA4" s="66">
        <f t="shared" si="1"/>
        <v>46320</v>
      </c>
      <c r="AB4" s="77">
        <f t="shared" si="1"/>
        <v>46321</v>
      </c>
      <c r="AC4" s="77">
        <f t="shared" si="1"/>
        <v>46322</v>
      </c>
      <c r="AD4" s="77">
        <f t="shared" si="1"/>
        <v>46323</v>
      </c>
      <c r="AE4" s="77">
        <f t="shared" si="1"/>
        <v>46324</v>
      </c>
      <c r="AF4" s="77">
        <f t="shared" si="1"/>
        <v>46325</v>
      </c>
      <c r="AG4" s="77"/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8">
        <f>C4</f>
        <v>46296</v>
      </c>
      <c r="D5" s="78">
        <f>C5+1</f>
        <v>46297</v>
      </c>
      <c r="E5" s="67">
        <f t="shared" si="0"/>
        <v>46298</v>
      </c>
      <c r="F5" s="67">
        <f t="shared" si="0"/>
        <v>46299</v>
      </c>
      <c r="G5" s="78">
        <f t="shared" si="0"/>
        <v>46300</v>
      </c>
      <c r="H5" s="78">
        <f t="shared" si="0"/>
        <v>46301</v>
      </c>
      <c r="I5" s="78">
        <f t="shared" si="0"/>
        <v>46302</v>
      </c>
      <c r="J5" s="78">
        <f t="shared" si="0"/>
        <v>46303</v>
      </c>
      <c r="K5" s="78">
        <f t="shared" si="0"/>
        <v>46304</v>
      </c>
      <c r="L5" s="67">
        <f t="shared" si="0"/>
        <v>46305</v>
      </c>
      <c r="M5" s="67">
        <f t="shared" si="0"/>
        <v>46306</v>
      </c>
      <c r="N5" s="67">
        <f t="shared" si="0"/>
        <v>46307</v>
      </c>
      <c r="O5" s="78">
        <f t="shared" si="0"/>
        <v>46308</v>
      </c>
      <c r="P5" s="78">
        <f t="shared" si="0"/>
        <v>46309</v>
      </c>
      <c r="Q5" s="78">
        <f t="shared" si="0"/>
        <v>46310</v>
      </c>
      <c r="R5" s="78">
        <f t="shared" si="0"/>
        <v>46311</v>
      </c>
      <c r="S5" s="78">
        <f t="shared" si="0"/>
        <v>46312</v>
      </c>
      <c r="T5" s="67">
        <f t="shared" si="0"/>
        <v>46313</v>
      </c>
      <c r="U5" s="78">
        <f t="shared" si="1"/>
        <v>46314</v>
      </c>
      <c r="V5" s="78">
        <f t="shared" si="1"/>
        <v>46315</v>
      </c>
      <c r="W5" s="78">
        <f t="shared" si="1"/>
        <v>46316</v>
      </c>
      <c r="X5" s="78">
        <f t="shared" si="1"/>
        <v>46317</v>
      </c>
      <c r="Y5" s="78">
        <f t="shared" si="1"/>
        <v>46318</v>
      </c>
      <c r="Z5" s="67">
        <f t="shared" si="1"/>
        <v>46319</v>
      </c>
      <c r="AA5" s="67">
        <f t="shared" si="1"/>
        <v>46320</v>
      </c>
      <c r="AB5" s="78">
        <f t="shared" si="1"/>
        <v>46321</v>
      </c>
      <c r="AC5" s="78">
        <f t="shared" si="1"/>
        <v>46322</v>
      </c>
      <c r="AD5" s="78">
        <f t="shared" si="1"/>
        <v>46323</v>
      </c>
      <c r="AE5" s="78">
        <f t="shared" si="1"/>
        <v>46324</v>
      </c>
      <c r="AF5" s="78">
        <f t="shared" si="1"/>
        <v>46325</v>
      </c>
      <c r="AG5" s="78"/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48"/>
      <c r="D6" s="48"/>
      <c r="E6" s="68"/>
      <c r="F6" s="68"/>
      <c r="G6" s="48"/>
      <c r="H6" s="48"/>
      <c r="I6" s="48"/>
      <c r="J6" s="48"/>
      <c r="K6" s="48"/>
      <c r="L6" s="68"/>
      <c r="M6" s="68"/>
      <c r="N6" s="68"/>
      <c r="O6" s="48"/>
      <c r="P6" s="48"/>
      <c r="Q6" s="48"/>
      <c r="R6" s="48"/>
      <c r="S6" s="48"/>
      <c r="T6" s="68"/>
      <c r="U6" s="48"/>
      <c r="V6" s="48"/>
      <c r="W6" s="48"/>
      <c r="X6" s="48"/>
      <c r="Y6" s="48"/>
      <c r="Z6" s="68"/>
      <c r="AA6" s="68"/>
      <c r="AB6" s="48"/>
      <c r="AC6" s="48"/>
      <c r="AD6" s="48"/>
      <c r="AE6" s="48"/>
      <c r="AF6" s="48"/>
      <c r="AG6" s="48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0">
        <v>0</v>
      </c>
      <c r="AK6" s="40"/>
    </row>
    <row r="7" spans="1:38" ht="19.25" customHeight="1">
      <c r="A7" s="42"/>
      <c r="B7" s="48"/>
      <c r="C7" s="48"/>
      <c r="D7" s="48"/>
      <c r="E7" s="68"/>
      <c r="F7" s="68"/>
      <c r="G7" s="48"/>
      <c r="H7" s="48"/>
      <c r="I7" s="48"/>
      <c r="J7" s="48"/>
      <c r="K7" s="48"/>
      <c r="L7" s="68"/>
      <c r="M7" s="68"/>
      <c r="N7" s="68"/>
      <c r="O7" s="48"/>
      <c r="P7" s="48"/>
      <c r="Q7" s="48"/>
      <c r="R7" s="48"/>
      <c r="S7" s="48"/>
      <c r="T7" s="68"/>
      <c r="U7" s="48"/>
      <c r="V7" s="48"/>
      <c r="W7" s="48"/>
      <c r="X7" s="48"/>
      <c r="Y7" s="48"/>
      <c r="Z7" s="68"/>
      <c r="AA7" s="68"/>
      <c r="AB7" s="48"/>
      <c r="AC7" s="48"/>
      <c r="AD7" s="48"/>
      <c r="AE7" s="48"/>
      <c r="AF7" s="48"/>
      <c r="AG7" s="48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48"/>
      <c r="D8" s="48"/>
      <c r="E8" s="68"/>
      <c r="F8" s="68"/>
      <c r="G8" s="48"/>
      <c r="H8" s="48"/>
      <c r="I8" s="48"/>
      <c r="J8" s="48"/>
      <c r="K8" s="48"/>
      <c r="L8" s="68"/>
      <c r="M8" s="68"/>
      <c r="N8" s="68"/>
      <c r="O8" s="48"/>
      <c r="P8" s="48"/>
      <c r="Q8" s="48"/>
      <c r="R8" s="48"/>
      <c r="S8" s="44" t="s">
        <v>138</v>
      </c>
      <c r="T8" s="68"/>
      <c r="U8" s="48"/>
      <c r="V8" s="48"/>
      <c r="W8" s="48"/>
      <c r="X8" s="48"/>
      <c r="Y8" s="48"/>
      <c r="Z8" s="68"/>
      <c r="AA8" s="68"/>
      <c r="AB8" s="48"/>
      <c r="AC8" s="48"/>
      <c r="AD8" s="48"/>
      <c r="AE8" s="48"/>
      <c r="AF8" s="48"/>
      <c r="AG8" s="48"/>
      <c r="AH8" s="42" t="s">
        <v>114</v>
      </c>
      <c r="AI8" s="64">
        <f t="shared" si="2"/>
        <v>149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48"/>
      <c r="D9" s="48"/>
      <c r="E9" s="68"/>
      <c r="F9" s="68"/>
      <c r="G9" s="48"/>
      <c r="H9" s="48"/>
      <c r="I9" s="48"/>
      <c r="J9" s="48"/>
      <c r="K9" s="48"/>
      <c r="L9" s="68"/>
      <c r="M9" s="68"/>
      <c r="N9" s="68"/>
      <c r="O9" s="48"/>
      <c r="P9" s="48"/>
      <c r="Q9" s="48"/>
      <c r="R9" s="48"/>
      <c r="S9" s="48"/>
      <c r="T9" s="68"/>
      <c r="U9" s="48"/>
      <c r="V9" s="44" t="s">
        <v>138</v>
      </c>
      <c r="W9" s="44" t="s">
        <v>138</v>
      </c>
      <c r="X9" s="48"/>
      <c r="Y9" s="48"/>
      <c r="Z9" s="68"/>
      <c r="AA9" s="68"/>
      <c r="AB9" s="48"/>
      <c r="AC9" s="48"/>
      <c r="AD9" s="48"/>
      <c r="AE9" s="48"/>
      <c r="AF9" s="48"/>
      <c r="AG9" s="48"/>
      <c r="AH9" s="42" t="s">
        <v>116</v>
      </c>
      <c r="AI9" s="64">
        <f t="shared" si="2"/>
        <v>141.55000000000001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48"/>
      <c r="D10" s="48"/>
      <c r="E10" s="68"/>
      <c r="F10" s="68"/>
      <c r="G10" s="48"/>
      <c r="H10" s="48"/>
      <c r="I10" s="48"/>
      <c r="J10" s="48"/>
      <c r="K10" s="48"/>
      <c r="L10" s="68"/>
      <c r="M10" s="68"/>
      <c r="N10" s="68"/>
      <c r="O10" s="48"/>
      <c r="P10" s="48"/>
      <c r="Q10" s="48"/>
      <c r="R10" s="48"/>
      <c r="S10" s="48"/>
      <c r="T10" s="68"/>
      <c r="U10" s="48"/>
      <c r="V10" s="48"/>
      <c r="W10" s="48"/>
      <c r="X10" s="48"/>
      <c r="Y10" s="48"/>
      <c r="Z10" s="68"/>
      <c r="AA10" s="68"/>
      <c r="AB10" s="48"/>
      <c r="AC10" s="48"/>
      <c r="AD10" s="48"/>
      <c r="AE10" s="48"/>
      <c r="AF10" s="48"/>
      <c r="AG10" s="48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48"/>
      <c r="D11" s="48"/>
      <c r="E11" s="68"/>
      <c r="F11" s="68"/>
      <c r="G11" s="48"/>
      <c r="H11" s="48"/>
      <c r="I11" s="48"/>
      <c r="J11" s="48"/>
      <c r="K11" s="48"/>
      <c r="L11" s="68"/>
      <c r="M11" s="68"/>
      <c r="N11" s="68"/>
      <c r="O11" s="48"/>
      <c r="P11" s="48"/>
      <c r="Q11" s="48"/>
      <c r="R11" s="48"/>
      <c r="S11" s="48"/>
      <c r="T11" s="68"/>
      <c r="U11" s="48"/>
      <c r="V11" s="48"/>
      <c r="W11" s="48"/>
      <c r="X11" s="48"/>
      <c r="Y11" s="48"/>
      <c r="Z11" s="68"/>
      <c r="AA11" s="68"/>
      <c r="AB11" s="48"/>
      <c r="AC11" s="48"/>
      <c r="AD11" s="48"/>
      <c r="AE11" s="48"/>
      <c r="AF11" s="48"/>
      <c r="AG11" s="48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48"/>
      <c r="D12" s="48"/>
      <c r="E12" s="68"/>
      <c r="F12" s="68"/>
      <c r="G12" s="48"/>
      <c r="H12" s="48"/>
      <c r="I12" s="48"/>
      <c r="J12" s="48"/>
      <c r="K12" s="48"/>
      <c r="L12" s="68"/>
      <c r="M12" s="68"/>
      <c r="N12" s="68"/>
      <c r="O12" s="48"/>
      <c r="P12" s="48"/>
      <c r="Q12" s="48"/>
      <c r="R12" s="48"/>
      <c r="S12" s="48"/>
      <c r="T12" s="68"/>
      <c r="U12" s="48"/>
      <c r="V12" s="48"/>
      <c r="W12" s="48"/>
      <c r="X12" s="48"/>
      <c r="Y12" s="48"/>
      <c r="Z12" s="68"/>
      <c r="AA12" s="68"/>
      <c r="AB12" s="48"/>
      <c r="AC12" s="48"/>
      <c r="AD12" s="48"/>
      <c r="AE12" s="48"/>
      <c r="AF12" s="48"/>
      <c r="AG12" s="48"/>
      <c r="AH12" s="42" t="s">
        <v>108</v>
      </c>
      <c r="AI12" s="64">
        <f t="shared" si="3"/>
        <v>156.45000000000002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48"/>
      <c r="D13" s="48"/>
      <c r="E13" s="68"/>
      <c r="F13" s="68"/>
      <c r="G13" s="48"/>
      <c r="H13" s="48"/>
      <c r="I13" s="48"/>
      <c r="J13" s="48"/>
      <c r="K13" s="48"/>
      <c r="L13" s="68"/>
      <c r="M13" s="68"/>
      <c r="N13" s="68"/>
      <c r="O13" s="48"/>
      <c r="P13" s="48"/>
      <c r="Q13" s="48"/>
      <c r="R13" s="48"/>
      <c r="S13" s="48"/>
      <c r="T13" s="68"/>
      <c r="U13" s="48"/>
      <c r="V13" s="48"/>
      <c r="W13" s="48"/>
      <c r="X13" s="48"/>
      <c r="Y13" s="48"/>
      <c r="Z13" s="68"/>
      <c r="AA13" s="68"/>
      <c r="AB13" s="48"/>
      <c r="AC13" s="48"/>
      <c r="AD13" s="48"/>
      <c r="AE13" s="48"/>
      <c r="AF13" s="48"/>
      <c r="AG13" s="48"/>
      <c r="AH13" s="42" t="s">
        <v>110</v>
      </c>
      <c r="AI13" s="64">
        <f t="shared" si="3"/>
        <v>156.45000000000002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48"/>
      <c r="D14" s="48"/>
      <c r="E14" s="68"/>
      <c r="F14" s="68"/>
      <c r="G14" s="48"/>
      <c r="H14" s="48"/>
      <c r="I14" s="48"/>
      <c r="J14" s="48"/>
      <c r="K14" s="48"/>
      <c r="L14" s="68"/>
      <c r="M14" s="68"/>
      <c r="N14" s="68"/>
      <c r="O14" s="48"/>
      <c r="P14" s="48"/>
      <c r="Q14" s="48"/>
      <c r="R14" s="48"/>
      <c r="S14" s="48"/>
      <c r="T14" s="68"/>
      <c r="U14" s="48"/>
      <c r="V14" s="48"/>
      <c r="W14" s="48"/>
      <c r="X14" s="48"/>
      <c r="Y14" s="48"/>
      <c r="Z14" s="68"/>
      <c r="AA14" s="68"/>
      <c r="AB14" s="48"/>
      <c r="AC14" s="48"/>
      <c r="AD14" s="48"/>
      <c r="AE14" s="48"/>
      <c r="AF14" s="48"/>
      <c r="AG14" s="48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48"/>
      <c r="D15" s="48"/>
      <c r="E15" s="68"/>
      <c r="F15" s="68"/>
      <c r="G15" s="48"/>
      <c r="H15" s="48"/>
      <c r="I15" s="48"/>
      <c r="J15" s="48"/>
      <c r="K15" s="48"/>
      <c r="L15" s="68"/>
      <c r="M15" s="68"/>
      <c r="N15" s="68"/>
      <c r="O15" s="48"/>
      <c r="P15" s="48"/>
      <c r="Q15" s="48"/>
      <c r="R15" s="48"/>
      <c r="S15" s="48"/>
      <c r="T15" s="68"/>
      <c r="U15" s="48"/>
      <c r="V15" s="48"/>
      <c r="W15" s="48"/>
      <c r="X15" s="48"/>
      <c r="Y15" s="48"/>
      <c r="Z15" s="68"/>
      <c r="AA15" s="68"/>
      <c r="AB15" s="48"/>
      <c r="AC15" s="48"/>
      <c r="AD15" s="48"/>
      <c r="AE15" s="48"/>
      <c r="AF15" s="48"/>
      <c r="AG15" s="48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48"/>
      <c r="D16" s="48"/>
      <c r="E16" s="68"/>
      <c r="F16" s="68"/>
      <c r="G16" s="48"/>
      <c r="H16" s="48"/>
      <c r="I16" s="48"/>
      <c r="J16" s="48"/>
      <c r="K16" s="48"/>
      <c r="L16" s="68"/>
      <c r="M16" s="68"/>
      <c r="N16" s="68"/>
      <c r="O16" s="48"/>
      <c r="P16" s="48"/>
      <c r="Q16" s="48"/>
      <c r="R16" s="48"/>
      <c r="S16" s="48"/>
      <c r="T16" s="68"/>
      <c r="U16" s="48"/>
      <c r="V16" s="48"/>
      <c r="W16" s="48"/>
      <c r="X16" s="48"/>
      <c r="Y16" s="48"/>
      <c r="Z16" s="68"/>
      <c r="AA16" s="68"/>
      <c r="AB16" s="48"/>
      <c r="AC16" s="48"/>
      <c r="AD16" s="48"/>
      <c r="AE16" s="48"/>
      <c r="AF16" s="48"/>
      <c r="AG16" s="48"/>
      <c r="AH16" s="42" t="s">
        <v>158</v>
      </c>
      <c r="AI16" s="64">
        <f t="shared" si="4"/>
        <v>156.45000000000002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48"/>
      <c r="D17" s="48"/>
      <c r="E17" s="68"/>
      <c r="F17" s="68"/>
      <c r="G17" s="48"/>
      <c r="H17" s="48"/>
      <c r="I17" s="48"/>
      <c r="J17" s="48"/>
      <c r="K17" s="48"/>
      <c r="L17" s="68"/>
      <c r="M17" s="68"/>
      <c r="N17" s="68"/>
      <c r="O17" s="48"/>
      <c r="P17" s="48"/>
      <c r="Q17" s="48"/>
      <c r="R17" s="48"/>
      <c r="S17" s="48"/>
      <c r="T17" s="68"/>
      <c r="U17" s="48"/>
      <c r="V17" s="48"/>
      <c r="W17" s="48"/>
      <c r="X17" s="48"/>
      <c r="Y17" s="48"/>
      <c r="Z17" s="68"/>
      <c r="AA17" s="68"/>
      <c r="AB17" s="48"/>
      <c r="AC17" s="48"/>
      <c r="AD17" s="48"/>
      <c r="AE17" s="48"/>
      <c r="AF17" s="48"/>
      <c r="AG17" s="48"/>
      <c r="AH17" s="42" t="s">
        <v>113</v>
      </c>
      <c r="AI17" s="64">
        <f t="shared" si="4"/>
        <v>156.45000000000002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48"/>
      <c r="D18" s="48"/>
      <c r="E18" s="68"/>
      <c r="F18" s="68"/>
      <c r="G18" s="48"/>
      <c r="H18" s="48"/>
      <c r="I18" s="48"/>
      <c r="J18" s="48"/>
      <c r="K18" s="48"/>
      <c r="L18" s="68"/>
      <c r="M18" s="68"/>
      <c r="N18" s="68"/>
      <c r="O18" s="48"/>
      <c r="P18" s="48"/>
      <c r="Q18" s="48"/>
      <c r="R18" s="48"/>
      <c r="S18" s="48"/>
      <c r="T18" s="68"/>
      <c r="U18" s="48"/>
      <c r="V18" s="48"/>
      <c r="W18" s="48"/>
      <c r="X18" s="48"/>
      <c r="Y18" s="48"/>
      <c r="Z18" s="68"/>
      <c r="AA18" s="68"/>
      <c r="AB18" s="48"/>
      <c r="AC18" s="48"/>
      <c r="AD18" s="48"/>
      <c r="AE18" s="48"/>
      <c r="AF18" s="48"/>
      <c r="AG18" s="48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48"/>
      <c r="D19" s="48"/>
      <c r="E19" s="68"/>
      <c r="F19" s="68"/>
      <c r="G19" s="48"/>
      <c r="H19" s="48"/>
      <c r="I19" s="48"/>
      <c r="J19" s="48"/>
      <c r="K19" s="48"/>
      <c r="L19" s="68"/>
      <c r="M19" s="68"/>
      <c r="N19" s="68"/>
      <c r="O19" s="48"/>
      <c r="P19" s="48"/>
      <c r="Q19" s="48"/>
      <c r="R19" s="48"/>
      <c r="S19" s="48"/>
      <c r="T19" s="68"/>
      <c r="U19" s="48"/>
      <c r="V19" s="48"/>
      <c r="W19" s="48"/>
      <c r="X19" s="48"/>
      <c r="Y19" s="48"/>
      <c r="Z19" s="68"/>
      <c r="AA19" s="68"/>
      <c r="AB19" s="48"/>
      <c r="AC19" s="48"/>
      <c r="AD19" s="48"/>
      <c r="AE19" s="48"/>
      <c r="AF19" s="48"/>
      <c r="AG19" s="48"/>
      <c r="AH19" s="42" t="s">
        <v>160</v>
      </c>
      <c r="AI19" s="64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48"/>
      <c r="D20" s="48"/>
      <c r="E20" s="68"/>
      <c r="F20" s="68"/>
      <c r="G20" s="48"/>
      <c r="H20" s="48"/>
      <c r="I20" s="48"/>
      <c r="J20" s="48"/>
      <c r="K20" s="48"/>
      <c r="L20" s="68"/>
      <c r="M20" s="68"/>
      <c r="N20" s="68"/>
      <c r="O20" s="48"/>
      <c r="P20" s="48"/>
      <c r="Q20" s="48"/>
      <c r="R20" s="48"/>
      <c r="S20" s="48"/>
      <c r="T20" s="68"/>
      <c r="U20" s="48"/>
      <c r="V20" s="48"/>
      <c r="W20" s="48"/>
      <c r="X20" s="48"/>
      <c r="Y20" s="48"/>
      <c r="Z20" s="68"/>
      <c r="AA20" s="68"/>
      <c r="AB20" s="48"/>
      <c r="AC20" s="48"/>
      <c r="AD20" s="48"/>
      <c r="AE20" s="48"/>
      <c r="AF20" s="48"/>
      <c r="AG20" s="48"/>
      <c r="AH20" s="42" t="s">
        <v>118</v>
      </c>
      <c r="AI20" s="64">
        <f t="shared" si="5"/>
        <v>156.45000000000002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48"/>
      <c r="D21" s="48"/>
      <c r="E21" s="68"/>
      <c r="F21" s="68"/>
      <c r="G21" s="48"/>
      <c r="H21" s="48"/>
      <c r="I21" s="48"/>
      <c r="J21" s="48"/>
      <c r="K21" s="48"/>
      <c r="L21" s="68"/>
      <c r="M21" s="68"/>
      <c r="N21" s="68"/>
      <c r="O21" s="48"/>
      <c r="P21" s="48"/>
      <c r="Q21" s="48"/>
      <c r="R21" s="48"/>
      <c r="S21" s="48"/>
      <c r="T21" s="68"/>
      <c r="U21" s="48"/>
      <c r="V21" s="48"/>
      <c r="W21" s="48"/>
      <c r="X21" s="48"/>
      <c r="Y21" s="48"/>
      <c r="Z21" s="68"/>
      <c r="AA21" s="68"/>
      <c r="AB21" s="48"/>
      <c r="AC21" s="48"/>
      <c r="AD21" s="48"/>
      <c r="AE21" s="48"/>
      <c r="AF21" s="48"/>
      <c r="AG21" s="48"/>
      <c r="AH21" s="42" t="s">
        <v>119</v>
      </c>
      <c r="AI21" s="64">
        <f t="shared" si="5"/>
        <v>156.45000000000002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48"/>
      <c r="D22" s="48"/>
      <c r="E22" s="68"/>
      <c r="F22" s="68"/>
      <c r="G22" s="48"/>
      <c r="H22" s="48"/>
      <c r="I22" s="48"/>
      <c r="J22" s="48"/>
      <c r="K22" s="48"/>
      <c r="L22" s="68"/>
      <c r="M22" s="68"/>
      <c r="N22" s="68"/>
      <c r="O22" s="48"/>
      <c r="P22" s="48"/>
      <c r="Q22" s="48"/>
      <c r="R22" s="48"/>
      <c r="S22" s="48"/>
      <c r="T22" s="68"/>
      <c r="U22" s="48"/>
      <c r="V22" s="48"/>
      <c r="W22" s="48"/>
      <c r="X22" s="48"/>
      <c r="Y22" s="48"/>
      <c r="Z22" s="68"/>
      <c r="AA22" s="68"/>
      <c r="AB22" s="48"/>
      <c r="AC22" s="48"/>
      <c r="AD22" s="48"/>
      <c r="AE22" s="48"/>
      <c r="AF22" s="48"/>
      <c r="AG22" s="48"/>
      <c r="AH22" s="42" t="s">
        <v>120</v>
      </c>
      <c r="AI22" s="64">
        <f t="shared" si="5"/>
        <v>156.45000000000002</v>
      </c>
      <c r="AJ22" s="40">
        <v>2</v>
      </c>
      <c r="AK22" s="64" t="e" vm="1">
        <v>#VALUE!</v>
      </c>
    </row>
    <row r="23" spans="1:37" ht="19.25" customHeight="1">
      <c r="A23" s="42"/>
      <c r="B23" s="48"/>
      <c r="C23" s="48"/>
      <c r="D23" s="48"/>
      <c r="E23" s="68"/>
      <c r="F23" s="68"/>
      <c r="G23" s="48"/>
      <c r="H23" s="48"/>
      <c r="I23" s="48"/>
      <c r="J23" s="48"/>
      <c r="K23" s="48"/>
      <c r="L23" s="68"/>
      <c r="M23" s="68"/>
      <c r="N23" s="68"/>
      <c r="O23" s="48"/>
      <c r="P23" s="48"/>
      <c r="Q23" s="48"/>
      <c r="R23" s="48"/>
      <c r="S23" s="48"/>
      <c r="T23" s="68"/>
      <c r="U23" s="48"/>
      <c r="V23" s="48"/>
      <c r="W23" s="48"/>
      <c r="X23" s="48"/>
      <c r="Y23" s="48"/>
      <c r="Z23" s="68"/>
      <c r="AA23" s="68"/>
      <c r="AB23" s="48"/>
      <c r="AC23" s="48"/>
      <c r="AD23" s="48"/>
      <c r="AE23" s="48"/>
      <c r="AF23" s="48"/>
      <c r="AG23" s="48"/>
      <c r="AH23" s="42"/>
      <c r="AI23" s="64"/>
      <c r="AJ23" s="40"/>
      <c r="AK23" s="64"/>
    </row>
    <row r="24" spans="1:37" ht="19.25" customHeight="1">
      <c r="A24" s="42" t="s">
        <v>211</v>
      </c>
      <c r="B24" s="48" t="s">
        <v>161</v>
      </c>
      <c r="C24" s="48"/>
      <c r="D24" s="48"/>
      <c r="E24" s="68"/>
      <c r="F24" s="68"/>
      <c r="G24" s="48"/>
      <c r="H24" s="48"/>
      <c r="I24" s="48"/>
      <c r="J24" s="48"/>
      <c r="K24" s="48"/>
      <c r="L24" s="68"/>
      <c r="M24" s="68"/>
      <c r="N24" s="68"/>
      <c r="O24" s="48"/>
      <c r="P24" s="48"/>
      <c r="Q24" s="48"/>
      <c r="R24" s="48"/>
      <c r="S24" s="48"/>
      <c r="T24" s="68"/>
      <c r="U24" s="48"/>
      <c r="V24" s="48"/>
      <c r="W24" s="48"/>
      <c r="X24" s="48"/>
      <c r="Y24" s="48"/>
      <c r="Z24" s="68"/>
      <c r="AA24" s="68"/>
      <c r="AB24" s="48"/>
      <c r="AC24" s="48"/>
      <c r="AD24" s="48"/>
      <c r="AE24" s="48"/>
      <c r="AF24" s="48"/>
      <c r="AG24" s="48"/>
      <c r="AH24" s="42" t="s">
        <v>211</v>
      </c>
      <c r="AI24" s="40"/>
      <c r="AJ24" s="40"/>
      <c r="AK24" s="40"/>
    </row>
    <row r="25" spans="1:37" ht="19.25" customHeight="1">
      <c r="A25" s="42"/>
      <c r="B25" s="48"/>
      <c r="C25" s="48"/>
      <c r="D25" s="48"/>
      <c r="E25" s="62"/>
      <c r="F25" s="62"/>
      <c r="G25" s="48"/>
      <c r="H25" s="48"/>
      <c r="I25" s="48"/>
      <c r="J25" s="48"/>
      <c r="K25" s="48"/>
      <c r="L25" s="62"/>
      <c r="M25" s="62"/>
      <c r="N25" s="62"/>
      <c r="O25" s="48"/>
      <c r="P25" s="48"/>
      <c r="Q25" s="48"/>
      <c r="R25" s="48"/>
      <c r="S25" s="48"/>
      <c r="T25" s="62"/>
      <c r="U25" s="48"/>
      <c r="V25" s="48"/>
      <c r="W25" s="48"/>
      <c r="X25" s="48"/>
      <c r="Y25" s="48"/>
      <c r="Z25" s="62"/>
      <c r="AA25" s="62"/>
      <c r="AB25" s="48"/>
      <c r="AC25" s="48"/>
      <c r="AD25" s="48"/>
      <c r="AE25" s="48"/>
      <c r="AF25" s="48"/>
      <c r="AG25" s="48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/>
      <c r="B26" s="48"/>
      <c r="C26" s="48"/>
      <c r="D26" s="48"/>
      <c r="E26" s="62"/>
      <c r="F26" s="62"/>
      <c r="G26" s="48"/>
      <c r="H26" s="48"/>
      <c r="I26" s="48"/>
      <c r="J26" s="48"/>
      <c r="K26" s="48"/>
      <c r="L26" s="62"/>
      <c r="M26" s="62"/>
      <c r="N26" s="62"/>
      <c r="O26" s="48"/>
      <c r="P26" s="48"/>
      <c r="Q26" s="48"/>
      <c r="R26" s="48"/>
      <c r="S26" s="48"/>
      <c r="T26" s="62"/>
      <c r="U26" s="48"/>
      <c r="V26" s="48"/>
      <c r="W26" s="48"/>
      <c r="X26" s="48"/>
      <c r="Y26" s="48"/>
      <c r="Z26" s="62"/>
      <c r="AA26" s="62"/>
      <c r="AB26" s="48"/>
      <c r="AC26" s="48"/>
      <c r="AD26" s="48"/>
      <c r="AE26" s="48"/>
      <c r="AF26" s="48"/>
      <c r="AG26" s="48"/>
      <c r="AH26" s="42"/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663A5-5137-480F-9C47-8019FC9AD175}">
  <sheetPr codeName="Sheet35">
    <pageSetUpPr fitToPage="1"/>
  </sheetPr>
  <dimension ref="A1:AL31"/>
  <sheetViews>
    <sheetView zoomScale="115" zoomScaleNormal="115" zoomScaleSheetLayoutView="115" workbookViewId="0">
      <pane xSplit="1" ySplit="5" topLeftCell="B6" activePane="bottomRight" state="frozenSplit"/>
      <selection activeCell="A28" sqref="A28"/>
      <selection pane="topRight" activeCell="A28" sqref="A28"/>
      <selection pane="bottomLeft" activeCell="A28" sqref="A28"/>
      <selection pane="bottomRight" activeCell="A28" sqref="A28"/>
    </sheetView>
  </sheetViews>
  <sheetFormatPr defaultRowHeight="19.25" customHeight="1"/>
  <cols>
    <col min="1" max="1" bestFit="true" customWidth="true" width="12.4140625"/>
    <col min="2" max="2" bestFit="true" customWidth="true" width="8.1640625"/>
    <col min="3" max="33" customWidth="true" width="3.6640625"/>
    <col min="34" max="34" bestFit="true" customWidth="true" width="12.5"/>
    <col min="35" max="35" bestFit="true" customWidth="true" width="12.33203125"/>
    <col min="36" max="36" bestFit="true" customWidth="true" width="10.4140625"/>
    <col min="37" max="37" bestFit="true" customWidth="true" width="7.58203125"/>
    <col min="38" max="38" customWidth="true" width="3.33203125"/>
  </cols>
  <sheetData>
    <row r="1" spans="1:38" ht="19.25" customHeight="1" thickBot="1">
      <c r="A1" s="49">
        <v>46327</v>
      </c>
      <c r="AB1" s="79" t="s">
        <v>136</v>
      </c>
      <c r="AC1" s="79"/>
      <c r="AD1" s="79"/>
      <c r="AE1" s="79"/>
      <c r="AF1" s="79"/>
      <c r="AG1" s="79"/>
    </row>
    <row r="2" spans="1:38" ht="19.25" customHeight="1" thickBot="1">
      <c r="A2" s="51">
        <f>YEAR(A1)</f>
        <v>2026</v>
      </c>
      <c r="B2" s="76">
        <f>MONTH(A1)</f>
        <v>11</v>
      </c>
      <c r="D2" s="39" t="s">
        <v>137</v>
      </c>
      <c r="J2" s="50" t="s">
        <v>138</v>
      </c>
      <c r="K2" s="50" t="s">
        <v>139</v>
      </c>
      <c r="L2" s="53"/>
      <c r="N2" s="50" t="s">
        <v>140</v>
      </c>
      <c r="O2" s="50"/>
      <c r="P2" s="50" t="s">
        <v>141</v>
      </c>
      <c r="Q2" s="50"/>
      <c r="S2" s="50" t="s">
        <v>142</v>
      </c>
      <c r="T2" t="s" s="0">
        <v>143</v>
      </c>
      <c r="V2" s="80" t="s">
        <v>144</v>
      </c>
      <c r="W2" s="81"/>
      <c r="X2" s="82" t="s">
        <v>145</v>
      </c>
      <c r="Y2" s="83"/>
      <c r="Z2" s="84"/>
      <c r="AB2" s="79" t="s">
        <v>146</v>
      </c>
      <c r="AC2" s="79"/>
      <c r="AD2" s="79"/>
      <c r="AE2" s="79"/>
      <c r="AF2" s="79"/>
      <c r="AG2" s="79"/>
      <c r="AI2" s="40" t="s">
        <v>147</v>
      </c>
    </row>
    <row r="3" spans="1:38" ht="9.75" customHeight="1">
      <c r="AI3" s="40"/>
    </row>
    <row r="4" spans="1:38" ht="19.25" customHeight="1">
      <c r="A4" s="42"/>
      <c r="B4" s="42"/>
      <c r="C4" s="73">
        <f>DATEVALUE(A2&amp;"/"&amp;B2&amp;"/1")</f>
        <v>46327</v>
      </c>
      <c r="D4" s="77">
        <f>C4+1</f>
        <v>46328</v>
      </c>
      <c r="E4" s="77">
        <f t="shared" ref="E4:T5" si="0">D4+1</f>
        <v>46329</v>
      </c>
      <c r="F4" s="77">
        <f t="shared" si="0"/>
        <v>46330</v>
      </c>
      <c r="G4" s="77">
        <f t="shared" si="0"/>
        <v>46331</v>
      </c>
      <c r="H4" s="77">
        <f t="shared" si="0"/>
        <v>46332</v>
      </c>
      <c r="I4" s="73">
        <f t="shared" si="0"/>
        <v>46333</v>
      </c>
      <c r="J4" s="73">
        <f t="shared" si="0"/>
        <v>46334</v>
      </c>
      <c r="K4" s="77">
        <f t="shared" si="0"/>
        <v>46335</v>
      </c>
      <c r="L4" s="77">
        <f t="shared" si="0"/>
        <v>46336</v>
      </c>
      <c r="M4" s="77">
        <f t="shared" si="0"/>
        <v>46337</v>
      </c>
      <c r="N4" s="77">
        <f t="shared" si="0"/>
        <v>46338</v>
      </c>
      <c r="O4" s="77">
        <f t="shared" si="0"/>
        <v>46339</v>
      </c>
      <c r="P4" s="73">
        <f t="shared" si="0"/>
        <v>46340</v>
      </c>
      <c r="Q4" s="73">
        <f t="shared" si="0"/>
        <v>46341</v>
      </c>
      <c r="R4" s="77">
        <f t="shared" si="0"/>
        <v>46342</v>
      </c>
      <c r="S4" s="77">
        <f t="shared" si="0"/>
        <v>46343</v>
      </c>
      <c r="T4" s="77">
        <f t="shared" si="0"/>
        <v>46344</v>
      </c>
      <c r="U4" s="77">
        <f t="shared" ref="U4:AF5" si="1">T4+1</f>
        <v>46345</v>
      </c>
      <c r="V4" s="77">
        <f t="shared" si="1"/>
        <v>46346</v>
      </c>
      <c r="W4" s="73">
        <f t="shared" si="1"/>
        <v>46347</v>
      </c>
      <c r="X4" s="73">
        <f t="shared" si="1"/>
        <v>46348</v>
      </c>
      <c r="Y4" s="73">
        <f t="shared" si="1"/>
        <v>46349</v>
      </c>
      <c r="Z4" s="77">
        <f t="shared" si="1"/>
        <v>46350</v>
      </c>
      <c r="AA4" s="77">
        <f t="shared" si="1"/>
        <v>46351</v>
      </c>
      <c r="AB4" s="77">
        <f t="shared" si="1"/>
        <v>46352</v>
      </c>
      <c r="AC4" s="77">
        <f t="shared" si="1"/>
        <v>46353</v>
      </c>
      <c r="AD4" s="77">
        <f t="shared" si="1"/>
        <v>46354</v>
      </c>
      <c r="AE4" s="73">
        <f t="shared" si="1"/>
        <v>46355</v>
      </c>
      <c r="AF4" s="77">
        <f t="shared" si="1"/>
        <v>46356</v>
      </c>
      <c r="AG4" s="77"/>
      <c r="AH4" s="58"/>
      <c r="AI4" s="59">
        <v>21</v>
      </c>
      <c r="AL4" s="58"/>
    </row>
    <row r="5" spans="1:38" ht="19.25" customHeight="1">
      <c r="A5" s="42"/>
      <c r="B5" s="48" t="s">
        <v>148</v>
      </c>
      <c r="C5" s="74">
        <f>C4</f>
        <v>46327</v>
      </c>
      <c r="D5" s="78">
        <f>C5+1</f>
        <v>46328</v>
      </c>
      <c r="E5" s="78">
        <f t="shared" si="0"/>
        <v>46329</v>
      </c>
      <c r="F5" s="78">
        <f t="shared" si="0"/>
        <v>46330</v>
      </c>
      <c r="G5" s="78">
        <f t="shared" si="0"/>
        <v>46331</v>
      </c>
      <c r="H5" s="78">
        <f t="shared" si="0"/>
        <v>46332</v>
      </c>
      <c r="I5" s="74">
        <f t="shared" si="0"/>
        <v>46333</v>
      </c>
      <c r="J5" s="74">
        <f t="shared" si="0"/>
        <v>46334</v>
      </c>
      <c r="K5" s="78">
        <f t="shared" si="0"/>
        <v>46335</v>
      </c>
      <c r="L5" s="78">
        <f t="shared" si="0"/>
        <v>46336</v>
      </c>
      <c r="M5" s="78">
        <f t="shared" si="0"/>
        <v>46337</v>
      </c>
      <c r="N5" s="78">
        <f t="shared" si="0"/>
        <v>46338</v>
      </c>
      <c r="O5" s="78">
        <f t="shared" si="0"/>
        <v>46339</v>
      </c>
      <c r="P5" s="74">
        <f t="shared" si="0"/>
        <v>46340</v>
      </c>
      <c r="Q5" s="74">
        <f t="shared" si="0"/>
        <v>46341</v>
      </c>
      <c r="R5" s="78">
        <f t="shared" si="0"/>
        <v>46342</v>
      </c>
      <c r="S5" s="78">
        <f t="shared" si="0"/>
        <v>46343</v>
      </c>
      <c r="T5" s="78">
        <f t="shared" si="0"/>
        <v>46344</v>
      </c>
      <c r="U5" s="78">
        <f t="shared" si="1"/>
        <v>46345</v>
      </c>
      <c r="V5" s="78">
        <f t="shared" si="1"/>
        <v>46346</v>
      </c>
      <c r="W5" s="74">
        <f t="shared" si="1"/>
        <v>46347</v>
      </c>
      <c r="X5" s="74">
        <f t="shared" si="1"/>
        <v>46348</v>
      </c>
      <c r="Y5" s="74">
        <f t="shared" si="1"/>
        <v>46349</v>
      </c>
      <c r="Z5" s="78">
        <f t="shared" si="1"/>
        <v>46350</v>
      </c>
      <c r="AA5" s="78">
        <f t="shared" si="1"/>
        <v>46351</v>
      </c>
      <c r="AB5" s="78">
        <f t="shared" si="1"/>
        <v>46352</v>
      </c>
      <c r="AC5" s="78">
        <f t="shared" si="1"/>
        <v>46353</v>
      </c>
      <c r="AD5" s="78">
        <f t="shared" si="1"/>
        <v>46354</v>
      </c>
      <c r="AE5" s="74">
        <f t="shared" si="1"/>
        <v>46355</v>
      </c>
      <c r="AF5" s="78">
        <f t="shared" si="1"/>
        <v>46356</v>
      </c>
      <c r="AG5" s="78"/>
      <c r="AH5" s="60"/>
      <c r="AI5" s="61" t="s">
        <v>149</v>
      </c>
      <c r="AJ5" s="40" t="s">
        <v>150</v>
      </c>
      <c r="AK5" s="40" t="s">
        <v>151</v>
      </c>
      <c r="AL5" s="60"/>
    </row>
    <row r="6" spans="1:38" ht="19.25" customHeight="1">
      <c r="A6" s="42" t="s">
        <v>152</v>
      </c>
      <c r="B6" s="48"/>
      <c r="C6" s="75"/>
      <c r="D6" s="48"/>
      <c r="E6" s="48"/>
      <c r="F6" s="48"/>
      <c r="G6" s="48"/>
      <c r="H6" s="48"/>
      <c r="I6" s="75"/>
      <c r="J6" s="75"/>
      <c r="K6" s="48"/>
      <c r="L6" s="48"/>
      <c r="M6" s="48"/>
      <c r="N6" s="48"/>
      <c r="O6" s="48"/>
      <c r="P6" s="75"/>
      <c r="Q6" s="75"/>
      <c r="R6" s="48"/>
      <c r="S6" s="48"/>
      <c r="T6" s="48"/>
      <c r="U6" s="48"/>
      <c r="V6" s="48"/>
      <c r="W6" s="75"/>
      <c r="X6" s="75"/>
      <c r="Y6" s="75"/>
      <c r="Z6" s="48"/>
      <c r="AA6" s="48"/>
      <c r="AB6" s="48"/>
      <c r="AC6" s="48"/>
      <c r="AD6" s="48"/>
      <c r="AE6" s="75"/>
      <c r="AF6" s="48"/>
      <c r="AG6" s="48"/>
      <c r="AH6" s="42" t="s">
        <v>152</v>
      </c>
      <c r="AI6" s="64">
        <f>_xlfn.LET(
    _xlpm._範囲, $C6:$AG6,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6" s="40">
        <v>0</v>
      </c>
      <c r="AK6" s="40"/>
    </row>
    <row r="7" spans="1:38" ht="19.25" customHeight="1">
      <c r="A7" s="42"/>
      <c r="B7" s="48"/>
      <c r="C7" s="75"/>
      <c r="D7" s="48"/>
      <c r="E7" s="48"/>
      <c r="F7" s="48"/>
      <c r="G7" s="48"/>
      <c r="H7" s="48"/>
      <c r="I7" s="75"/>
      <c r="J7" s="75"/>
      <c r="K7" s="48"/>
      <c r="L7" s="48"/>
      <c r="M7" s="48"/>
      <c r="N7" s="48"/>
      <c r="O7" s="48"/>
      <c r="P7" s="75"/>
      <c r="Q7" s="75"/>
      <c r="R7" s="48"/>
      <c r="S7" s="48"/>
      <c r="T7" s="48"/>
      <c r="U7" s="48"/>
      <c r="V7" s="48"/>
      <c r="W7" s="75"/>
      <c r="X7" s="75"/>
      <c r="Y7" s="75"/>
      <c r="Z7" s="48"/>
      <c r="AA7" s="48"/>
      <c r="AB7" s="48"/>
      <c r="AC7" s="48"/>
      <c r="AD7" s="48"/>
      <c r="AE7" s="75"/>
      <c r="AF7" s="48"/>
      <c r="AG7" s="48"/>
      <c r="AH7" s="42"/>
      <c r="AI7" s="64">
        <f t="shared" ref="AI7:AI9" si="2">_xlfn.LET(
    _xlpm._範囲, $C7:$AG7,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7" s="40"/>
      <c r="AK7" s="40"/>
    </row>
    <row r="8" spans="1:38" ht="19.25" customHeight="1">
      <c r="A8" s="42" t="s">
        <v>153</v>
      </c>
      <c r="B8" s="48"/>
      <c r="C8" s="75"/>
      <c r="D8" s="48"/>
      <c r="E8" s="48"/>
      <c r="F8" s="48"/>
      <c r="G8" s="48"/>
      <c r="H8" s="48"/>
      <c r="I8" s="75"/>
      <c r="J8" s="75"/>
      <c r="K8" s="48"/>
      <c r="L8" s="48"/>
      <c r="M8" s="48"/>
      <c r="N8" s="48"/>
      <c r="O8" s="48"/>
      <c r="P8" s="75"/>
      <c r="Q8" s="75"/>
      <c r="R8" s="48"/>
      <c r="S8" s="48"/>
      <c r="T8" s="48"/>
      <c r="U8" s="48"/>
      <c r="V8" s="48"/>
      <c r="W8" s="75"/>
      <c r="X8" s="75"/>
      <c r="Y8" s="75"/>
      <c r="Z8" s="48"/>
      <c r="AA8" s="48"/>
      <c r="AB8" s="48"/>
      <c r="AC8" s="48"/>
      <c r="AD8" s="48"/>
      <c r="AE8" s="75"/>
      <c r="AF8" s="48"/>
      <c r="AG8" s="48"/>
      <c r="AH8" s="42" t="s">
        <v>114</v>
      </c>
      <c r="AI8" s="64">
        <f t="shared" si="2"/>
        <v>156.45000000000002</v>
      </c>
      <c r="AJ8" s="40">
        <v>0</v>
      </c>
      <c r="AK8" s="64" t="e" vm="1">
        <v>#VALUE!</v>
      </c>
    </row>
    <row r="9" spans="1:38" ht="19.25" customHeight="1">
      <c r="A9" s="42" t="s">
        <v>115</v>
      </c>
      <c r="B9" s="48"/>
      <c r="C9" s="75"/>
      <c r="D9" s="48"/>
      <c r="E9" s="48"/>
      <c r="F9" s="48"/>
      <c r="G9" s="48"/>
      <c r="H9" s="48"/>
      <c r="I9" s="75"/>
      <c r="J9" s="75"/>
      <c r="K9" s="48"/>
      <c r="L9" s="48"/>
      <c r="M9" s="48"/>
      <c r="N9" s="48"/>
      <c r="O9" s="48"/>
      <c r="P9" s="75"/>
      <c r="Q9" s="75"/>
      <c r="R9" s="48"/>
      <c r="S9" s="48"/>
      <c r="T9" s="48"/>
      <c r="U9" s="48"/>
      <c r="V9" s="48"/>
      <c r="W9" s="75"/>
      <c r="X9" s="75"/>
      <c r="Y9" s="75"/>
      <c r="Z9" s="48"/>
      <c r="AA9" s="48"/>
      <c r="AB9" s="48"/>
      <c r="AC9" s="48"/>
      <c r="AD9" s="48"/>
      <c r="AE9" s="75"/>
      <c r="AF9" s="48"/>
      <c r="AG9" s="48"/>
      <c r="AH9" s="42" t="s">
        <v>116</v>
      </c>
      <c r="AI9" s="64">
        <f t="shared" si="2"/>
        <v>156.45000000000002</v>
      </c>
      <c r="AJ9" s="40">
        <v>0</v>
      </c>
      <c r="AK9" s="64" t="e" vm="1">
        <v>#VALUE!</v>
      </c>
    </row>
    <row r="10" spans="1:38" ht="19.25" customHeight="1">
      <c r="A10" s="42"/>
      <c r="B10" s="48"/>
      <c r="C10" s="75"/>
      <c r="D10" s="48"/>
      <c r="E10" s="48"/>
      <c r="F10" s="48"/>
      <c r="G10" s="48"/>
      <c r="H10" s="48"/>
      <c r="I10" s="75"/>
      <c r="J10" s="75"/>
      <c r="K10" s="48"/>
      <c r="L10" s="48"/>
      <c r="M10" s="48"/>
      <c r="N10" s="48"/>
      <c r="O10" s="48"/>
      <c r="P10" s="75"/>
      <c r="Q10" s="75"/>
      <c r="R10" s="48"/>
      <c r="S10" s="48"/>
      <c r="T10" s="48"/>
      <c r="U10" s="48"/>
      <c r="V10" s="48"/>
      <c r="W10" s="75"/>
      <c r="X10" s="75"/>
      <c r="Y10" s="75"/>
      <c r="Z10" s="48"/>
      <c r="AA10" s="48"/>
      <c r="AB10" s="48"/>
      <c r="AC10" s="48"/>
      <c r="AD10" s="48"/>
      <c r="AE10" s="75"/>
      <c r="AF10" s="48"/>
      <c r="AG10" s="48"/>
      <c r="AH10" s="42"/>
      <c r="AI10" s="64"/>
      <c r="AJ10" s="40"/>
      <c r="AK10" s="64"/>
    </row>
    <row r="11" spans="1:38" ht="19.25" customHeight="1">
      <c r="A11" s="42" t="s">
        <v>155</v>
      </c>
      <c r="B11" s="48" t="s">
        <v>156</v>
      </c>
      <c r="C11" s="75"/>
      <c r="D11" s="48"/>
      <c r="E11" s="48"/>
      <c r="F11" s="48"/>
      <c r="G11" s="48"/>
      <c r="H11" s="48"/>
      <c r="I11" s="75"/>
      <c r="J11" s="75"/>
      <c r="K11" s="48"/>
      <c r="L11" s="48"/>
      <c r="M11" s="48"/>
      <c r="N11" s="48"/>
      <c r="O11" s="48"/>
      <c r="P11" s="75"/>
      <c r="Q11" s="75"/>
      <c r="R11" s="48"/>
      <c r="S11" s="48"/>
      <c r="T11" s="48"/>
      <c r="U11" s="48"/>
      <c r="V11" s="48"/>
      <c r="W11" s="75"/>
      <c r="X11" s="75"/>
      <c r="Y11" s="75"/>
      <c r="Z11" s="48"/>
      <c r="AA11" s="48"/>
      <c r="AB11" s="48"/>
      <c r="AC11" s="48"/>
      <c r="AD11" s="48"/>
      <c r="AE11" s="75"/>
      <c r="AF11" s="48"/>
      <c r="AG11" s="48"/>
      <c r="AH11" s="42" t="s">
        <v>117</v>
      </c>
      <c r="AI11" s="64">
        <f t="shared" ref="AI11:AI13" si="3">_xlfn.LET(
    _xlpm._範囲, $C11:$AG11,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1" s="40">
        <v>1</v>
      </c>
      <c r="AK11" s="64" t="e" vm="1">
        <v>#VALUE!</v>
      </c>
    </row>
    <row r="12" spans="1:38" ht="19.25" customHeight="1">
      <c r="A12" s="42" t="s">
        <v>108</v>
      </c>
      <c r="B12" s="48" t="s">
        <v>156</v>
      </c>
      <c r="C12" s="75"/>
      <c r="D12" s="48"/>
      <c r="E12" s="48"/>
      <c r="F12" s="48"/>
      <c r="G12" s="48"/>
      <c r="H12" s="48"/>
      <c r="I12" s="75"/>
      <c r="J12" s="75"/>
      <c r="K12" s="48"/>
      <c r="L12" s="48"/>
      <c r="M12" s="48"/>
      <c r="N12" s="48"/>
      <c r="O12" s="48"/>
      <c r="P12" s="75"/>
      <c r="Q12" s="75"/>
      <c r="R12" s="48"/>
      <c r="S12" s="48"/>
      <c r="T12" s="48"/>
      <c r="U12" s="48"/>
      <c r="V12" s="48"/>
      <c r="W12" s="75"/>
      <c r="X12" s="75"/>
      <c r="Y12" s="75"/>
      <c r="Z12" s="48"/>
      <c r="AA12" s="48"/>
      <c r="AB12" s="48"/>
      <c r="AC12" s="48"/>
      <c r="AD12" s="48"/>
      <c r="AE12" s="75"/>
      <c r="AF12" s="48"/>
      <c r="AG12" s="48"/>
      <c r="AH12" s="42" t="s">
        <v>108</v>
      </c>
      <c r="AI12" s="64">
        <f t="shared" si="3"/>
        <v>156.45000000000002</v>
      </c>
      <c r="AJ12" s="40">
        <v>1</v>
      </c>
      <c r="AK12" s="64" t="e" vm="1">
        <v>#VALUE!</v>
      </c>
    </row>
    <row r="13" spans="1:38" ht="19.25" customHeight="1">
      <c r="A13" s="42" t="s">
        <v>110</v>
      </c>
      <c r="B13" s="48" t="s">
        <v>156</v>
      </c>
      <c r="C13" s="75"/>
      <c r="D13" s="48"/>
      <c r="E13" s="48"/>
      <c r="F13" s="48"/>
      <c r="G13" s="48"/>
      <c r="H13" s="48"/>
      <c r="I13" s="75"/>
      <c r="J13" s="75"/>
      <c r="K13" s="48"/>
      <c r="L13" s="48"/>
      <c r="M13" s="48"/>
      <c r="N13" s="48"/>
      <c r="O13" s="48"/>
      <c r="P13" s="75"/>
      <c r="Q13" s="75"/>
      <c r="R13" s="48"/>
      <c r="S13" s="48"/>
      <c r="T13" s="48"/>
      <c r="U13" s="48"/>
      <c r="V13" s="48"/>
      <c r="W13" s="75"/>
      <c r="X13" s="75"/>
      <c r="Y13" s="75"/>
      <c r="Z13" s="48"/>
      <c r="AA13" s="48"/>
      <c r="AB13" s="48"/>
      <c r="AC13" s="48"/>
      <c r="AD13" s="48"/>
      <c r="AE13" s="75"/>
      <c r="AF13" s="48"/>
      <c r="AG13" s="48"/>
      <c r="AH13" s="42" t="s">
        <v>110</v>
      </c>
      <c r="AI13" s="64">
        <f t="shared" si="3"/>
        <v>156.45000000000002</v>
      </c>
      <c r="AJ13" s="40">
        <v>1</v>
      </c>
      <c r="AK13" s="64" t="e" vm="1">
        <v>#VALUE!</v>
      </c>
    </row>
    <row r="14" spans="1:38" ht="19.25" customHeight="1">
      <c r="A14" s="42"/>
      <c r="B14" s="48"/>
      <c r="C14" s="75"/>
      <c r="D14" s="48"/>
      <c r="E14" s="48"/>
      <c r="F14" s="48"/>
      <c r="G14" s="48"/>
      <c r="H14" s="48"/>
      <c r="I14" s="75"/>
      <c r="J14" s="75"/>
      <c r="K14" s="48"/>
      <c r="L14" s="48"/>
      <c r="M14" s="48"/>
      <c r="N14" s="48"/>
      <c r="O14" s="48"/>
      <c r="P14" s="75"/>
      <c r="Q14" s="75"/>
      <c r="R14" s="48"/>
      <c r="S14" s="48"/>
      <c r="T14" s="48"/>
      <c r="U14" s="48"/>
      <c r="V14" s="48"/>
      <c r="W14" s="75"/>
      <c r="X14" s="75"/>
      <c r="Y14" s="75"/>
      <c r="Z14" s="48"/>
      <c r="AA14" s="48"/>
      <c r="AB14" s="48"/>
      <c r="AC14" s="48"/>
      <c r="AD14" s="48"/>
      <c r="AE14" s="75"/>
      <c r="AF14" s="48"/>
      <c r="AG14" s="48"/>
      <c r="AH14" s="42"/>
      <c r="AI14" s="64"/>
      <c r="AJ14" s="40"/>
      <c r="AK14" s="64" t="e" vm="1">
        <v>#VALUE!</v>
      </c>
    </row>
    <row r="15" spans="1:38" ht="19.25" customHeight="1">
      <c r="A15" s="42" t="s">
        <v>157</v>
      </c>
      <c r="B15" s="48" t="s">
        <v>156</v>
      </c>
      <c r="C15" s="75"/>
      <c r="D15" s="48"/>
      <c r="E15" s="48"/>
      <c r="F15" s="48"/>
      <c r="G15" s="48"/>
      <c r="H15" s="48"/>
      <c r="I15" s="75"/>
      <c r="J15" s="75"/>
      <c r="K15" s="48"/>
      <c r="L15" s="48"/>
      <c r="M15" s="48"/>
      <c r="N15" s="48"/>
      <c r="O15" s="48"/>
      <c r="P15" s="75"/>
      <c r="Q15" s="75"/>
      <c r="R15" s="48"/>
      <c r="S15" s="48"/>
      <c r="T15" s="48"/>
      <c r="U15" s="48"/>
      <c r="V15" s="48"/>
      <c r="W15" s="75"/>
      <c r="X15" s="75"/>
      <c r="Y15" s="75"/>
      <c r="Z15" s="48"/>
      <c r="AA15" s="48"/>
      <c r="AB15" s="48"/>
      <c r="AC15" s="48"/>
      <c r="AD15" s="48"/>
      <c r="AE15" s="75"/>
      <c r="AF15" s="48"/>
      <c r="AG15" s="48"/>
      <c r="AH15" s="42" t="s">
        <v>157</v>
      </c>
      <c r="AI15" s="64">
        <f t="shared" ref="AI15:AI17" si="4">_xlfn.LET(
    _xlpm._範囲, $C15:$AG15,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5" s="40">
        <v>1</v>
      </c>
      <c r="AK15" s="64" t="e" vm="1">
        <v>#VALUE!</v>
      </c>
    </row>
    <row r="16" spans="1:38" ht="19.25" customHeight="1">
      <c r="A16" s="42" t="s">
        <v>158</v>
      </c>
      <c r="B16" s="48" t="s">
        <v>156</v>
      </c>
      <c r="C16" s="75"/>
      <c r="D16" s="48"/>
      <c r="E16" s="48"/>
      <c r="F16" s="48"/>
      <c r="G16" s="48"/>
      <c r="H16" s="48"/>
      <c r="I16" s="75"/>
      <c r="J16" s="75"/>
      <c r="K16" s="48"/>
      <c r="L16" s="48"/>
      <c r="M16" s="48"/>
      <c r="N16" s="48"/>
      <c r="O16" s="48"/>
      <c r="P16" s="75"/>
      <c r="Q16" s="75"/>
      <c r="R16" s="48"/>
      <c r="S16" s="48"/>
      <c r="T16" s="48"/>
      <c r="U16" s="48"/>
      <c r="V16" s="48"/>
      <c r="W16" s="75"/>
      <c r="X16" s="75"/>
      <c r="Y16" s="75"/>
      <c r="Z16" s="48"/>
      <c r="AA16" s="48"/>
      <c r="AB16" s="48"/>
      <c r="AC16" s="48"/>
      <c r="AD16" s="48"/>
      <c r="AE16" s="75"/>
      <c r="AF16" s="48"/>
      <c r="AG16" s="48"/>
      <c r="AH16" s="42" t="s">
        <v>158</v>
      </c>
      <c r="AI16" s="64">
        <f t="shared" si="4"/>
        <v>156.45000000000002</v>
      </c>
      <c r="AJ16" s="40">
        <v>1</v>
      </c>
      <c r="AK16" s="64" t="e" vm="1">
        <v>#VALUE!</v>
      </c>
    </row>
    <row r="17" spans="1:37" ht="19.25" customHeight="1">
      <c r="A17" s="42" t="s">
        <v>113</v>
      </c>
      <c r="B17" s="48" t="s">
        <v>156</v>
      </c>
      <c r="C17" s="75"/>
      <c r="D17" s="48"/>
      <c r="E17" s="48"/>
      <c r="F17" s="48"/>
      <c r="G17" s="48"/>
      <c r="H17" s="48"/>
      <c r="I17" s="75"/>
      <c r="J17" s="75"/>
      <c r="K17" s="48"/>
      <c r="L17" s="48"/>
      <c r="M17" s="48"/>
      <c r="N17" s="48"/>
      <c r="O17" s="48"/>
      <c r="P17" s="75"/>
      <c r="Q17" s="75"/>
      <c r="R17" s="48"/>
      <c r="S17" s="48"/>
      <c r="T17" s="48"/>
      <c r="U17" s="48"/>
      <c r="V17" s="48"/>
      <c r="W17" s="75"/>
      <c r="X17" s="75"/>
      <c r="Y17" s="75"/>
      <c r="Z17" s="48"/>
      <c r="AA17" s="48"/>
      <c r="AB17" s="48"/>
      <c r="AC17" s="48"/>
      <c r="AD17" s="48"/>
      <c r="AE17" s="75"/>
      <c r="AF17" s="48"/>
      <c r="AG17" s="48"/>
      <c r="AH17" s="42" t="s">
        <v>113</v>
      </c>
      <c r="AI17" s="64">
        <f t="shared" si="4"/>
        <v>156.45000000000002</v>
      </c>
      <c r="AJ17" s="40">
        <v>1</v>
      </c>
      <c r="AK17" s="64" t="e" vm="1">
        <v>#VALUE!</v>
      </c>
    </row>
    <row r="18" spans="1:37" ht="19.25" customHeight="1">
      <c r="A18" s="42"/>
      <c r="B18" s="48"/>
      <c r="C18" s="75"/>
      <c r="D18" s="48"/>
      <c r="E18" s="48"/>
      <c r="F18" s="48"/>
      <c r="G18" s="48"/>
      <c r="H18" s="48"/>
      <c r="I18" s="75"/>
      <c r="J18" s="75"/>
      <c r="K18" s="48"/>
      <c r="L18" s="48"/>
      <c r="M18" s="48"/>
      <c r="N18" s="48"/>
      <c r="O18" s="48"/>
      <c r="P18" s="75"/>
      <c r="Q18" s="75"/>
      <c r="R18" s="48"/>
      <c r="S18" s="48"/>
      <c r="T18" s="48"/>
      <c r="U18" s="48"/>
      <c r="V18" s="48"/>
      <c r="W18" s="75"/>
      <c r="X18" s="75"/>
      <c r="Y18" s="75"/>
      <c r="Z18" s="48"/>
      <c r="AA18" s="48"/>
      <c r="AB18" s="48"/>
      <c r="AC18" s="48"/>
      <c r="AD18" s="48"/>
      <c r="AE18" s="75"/>
      <c r="AF18" s="48"/>
      <c r="AG18" s="48"/>
      <c r="AH18" s="42"/>
      <c r="AI18" s="64"/>
      <c r="AJ18" s="40"/>
      <c r="AK18" s="64"/>
    </row>
    <row r="19" spans="1:37" ht="19.25" customHeight="1">
      <c r="A19" s="42" t="s">
        <v>160</v>
      </c>
      <c r="B19" s="48" t="s">
        <v>161</v>
      </c>
      <c r="C19" s="75"/>
      <c r="D19" s="48"/>
      <c r="E19" s="48"/>
      <c r="F19" s="48"/>
      <c r="G19" s="48"/>
      <c r="H19" s="48"/>
      <c r="I19" s="75"/>
      <c r="J19" s="75"/>
      <c r="K19" s="48"/>
      <c r="L19" s="48"/>
      <c r="M19" s="48"/>
      <c r="N19" s="48"/>
      <c r="O19" s="48"/>
      <c r="P19" s="75"/>
      <c r="Q19" s="75"/>
      <c r="R19" s="48"/>
      <c r="S19" s="48"/>
      <c r="T19" s="48"/>
      <c r="U19" s="48"/>
      <c r="V19" s="48"/>
      <c r="W19" s="75"/>
      <c r="X19" s="75"/>
      <c r="Y19" s="75"/>
      <c r="Z19" s="48"/>
      <c r="AA19" s="48"/>
      <c r="AB19" s="48"/>
      <c r="AC19" s="48"/>
      <c r="AD19" s="48"/>
      <c r="AE19" s="75"/>
      <c r="AF19" s="48"/>
      <c r="AG19" s="48"/>
      <c r="AH19" s="42" t="s">
        <v>160</v>
      </c>
      <c r="AI19" s="64">
        <f t="shared" ref="AI19:AI22" si="5">_xlfn.LET(
    _xlpm._範囲, $C19:$AG19,
    _xlpm._通常年休数, COUNTIF(_xlpm._範囲, "~*"),
    _xlpm._その他休み数,
        COUNTIF(_xlpm._範囲, "前休") * (3.5/7.45) +
        COUNTIF(_xlpm._範囲, "後休") * (4.15/7.45) +
        COUNTIF(_xlpm._範囲, "講習") +
        COUNTIF(_xlpm._範囲, "欠")+
        COUNTIF(_xlpm._範囲, "早") * (4.15/7.45) +
        COUNTIF(_xlpm._範囲, "遅") * (3.5/7.45) +
        COUNTIF(_xlpm._範囲, "国"),
    ($AI$4- (_xlpm._通常年休数+_xlpm._その他休み数))*7.45
)</f>
        <v>156.45000000000002</v>
      </c>
      <c r="AJ19" s="40">
        <v>2</v>
      </c>
      <c r="AK19" s="64" t="e" vm="1">
        <v>#VALUE!</v>
      </c>
    </row>
    <row r="20" spans="1:37" ht="19.25" customHeight="1">
      <c r="A20" s="42" t="s">
        <v>118</v>
      </c>
      <c r="B20" s="48" t="s">
        <v>161</v>
      </c>
      <c r="C20" s="75"/>
      <c r="D20" s="48"/>
      <c r="E20" s="48"/>
      <c r="F20" s="48"/>
      <c r="G20" s="48"/>
      <c r="H20" s="48"/>
      <c r="I20" s="75"/>
      <c r="J20" s="75"/>
      <c r="K20" s="48"/>
      <c r="L20" s="48"/>
      <c r="M20" s="48"/>
      <c r="N20" s="48"/>
      <c r="O20" s="48"/>
      <c r="P20" s="75"/>
      <c r="Q20" s="75"/>
      <c r="R20" s="48"/>
      <c r="S20" s="48"/>
      <c r="T20" s="48"/>
      <c r="U20" s="48"/>
      <c r="V20" s="48"/>
      <c r="W20" s="75"/>
      <c r="X20" s="75"/>
      <c r="Y20" s="75"/>
      <c r="Z20" s="48"/>
      <c r="AA20" s="48"/>
      <c r="AB20" s="48"/>
      <c r="AC20" s="48"/>
      <c r="AD20" s="48"/>
      <c r="AE20" s="75"/>
      <c r="AF20" s="48"/>
      <c r="AG20" s="48"/>
      <c r="AH20" s="42" t="s">
        <v>118</v>
      </c>
      <c r="AI20" s="64">
        <f t="shared" si="5"/>
        <v>156.45000000000002</v>
      </c>
      <c r="AJ20" s="40">
        <v>2</v>
      </c>
      <c r="AK20" s="64" t="e" vm="1">
        <v>#VALUE!</v>
      </c>
    </row>
    <row r="21" spans="1:37" ht="19.25" customHeight="1">
      <c r="A21" s="42" t="s">
        <v>162</v>
      </c>
      <c r="B21" s="48" t="s">
        <v>161</v>
      </c>
      <c r="C21" s="75"/>
      <c r="D21" s="48"/>
      <c r="E21" s="48"/>
      <c r="F21" s="48"/>
      <c r="G21" s="48"/>
      <c r="H21" s="48"/>
      <c r="I21" s="75"/>
      <c r="J21" s="75"/>
      <c r="K21" s="48"/>
      <c r="L21" s="48"/>
      <c r="M21" s="48"/>
      <c r="N21" s="48"/>
      <c r="O21" s="48"/>
      <c r="P21" s="75"/>
      <c r="Q21" s="75"/>
      <c r="R21" s="48"/>
      <c r="S21" s="48"/>
      <c r="T21" s="48"/>
      <c r="U21" s="48"/>
      <c r="V21" s="48"/>
      <c r="W21" s="75"/>
      <c r="X21" s="75"/>
      <c r="Y21" s="75"/>
      <c r="Z21" s="48"/>
      <c r="AA21" s="48"/>
      <c r="AB21" s="48"/>
      <c r="AC21" s="48"/>
      <c r="AD21" s="48"/>
      <c r="AE21" s="75"/>
      <c r="AF21" s="48"/>
      <c r="AG21" s="48"/>
      <c r="AH21" s="42" t="s">
        <v>119</v>
      </c>
      <c r="AI21" s="64">
        <f t="shared" si="5"/>
        <v>156.45000000000002</v>
      </c>
      <c r="AJ21" s="40">
        <v>2</v>
      </c>
      <c r="AK21" s="64" t="e" vm="1">
        <v>#VALUE!</v>
      </c>
    </row>
    <row r="22" spans="1:37" ht="19.25" customHeight="1">
      <c r="A22" s="42" t="s">
        <v>120</v>
      </c>
      <c r="B22" s="48" t="s">
        <v>161</v>
      </c>
      <c r="C22" s="75"/>
      <c r="D22" s="48"/>
      <c r="E22" s="48"/>
      <c r="F22" s="48"/>
      <c r="G22" s="48"/>
      <c r="H22" s="48"/>
      <c r="I22" s="75"/>
      <c r="J22" s="75"/>
      <c r="K22" s="48"/>
      <c r="L22" s="48"/>
      <c r="M22" s="48"/>
      <c r="N22" s="48"/>
      <c r="O22" s="48"/>
      <c r="P22" s="75"/>
      <c r="Q22" s="75"/>
      <c r="R22" s="48"/>
      <c r="S22" s="48"/>
      <c r="T22" s="48"/>
      <c r="U22" s="48"/>
      <c r="V22" s="48"/>
      <c r="W22" s="75"/>
      <c r="X22" s="75"/>
      <c r="Y22" s="75"/>
      <c r="Z22" s="48"/>
      <c r="AA22" s="48"/>
      <c r="AB22" s="48"/>
      <c r="AC22" s="48"/>
      <c r="AD22" s="48"/>
      <c r="AE22" s="75"/>
      <c r="AF22" s="48"/>
      <c r="AG22" s="48"/>
      <c r="AH22" s="42" t="s">
        <v>120</v>
      </c>
      <c r="AI22" s="64">
        <f t="shared" si="5"/>
        <v>156.45000000000002</v>
      </c>
      <c r="AJ22" s="40">
        <v>2</v>
      </c>
      <c r="AK22" s="64" t="e" vm="1">
        <v>#VALUE!</v>
      </c>
    </row>
    <row r="23" spans="1:37" ht="19.25" customHeight="1">
      <c r="A23" s="42"/>
      <c r="B23" s="48"/>
      <c r="C23" s="75"/>
      <c r="D23" s="48"/>
      <c r="E23" s="48"/>
      <c r="F23" s="48"/>
      <c r="G23" s="48"/>
      <c r="H23" s="48"/>
      <c r="I23" s="75"/>
      <c r="J23" s="75"/>
      <c r="K23" s="48"/>
      <c r="L23" s="48"/>
      <c r="M23" s="48"/>
      <c r="N23" s="48"/>
      <c r="O23" s="48"/>
      <c r="P23" s="75"/>
      <c r="Q23" s="75"/>
      <c r="R23" s="48"/>
      <c r="S23" s="48"/>
      <c r="T23" s="48"/>
      <c r="U23" s="48"/>
      <c r="V23" s="48"/>
      <c r="W23" s="75"/>
      <c r="X23" s="75"/>
      <c r="Y23" s="75"/>
      <c r="Z23" s="48"/>
      <c r="AA23" s="48"/>
      <c r="AB23" s="48"/>
      <c r="AC23" s="48"/>
      <c r="AD23" s="48"/>
      <c r="AE23" s="75"/>
      <c r="AF23" s="48"/>
      <c r="AG23" s="48"/>
      <c r="AH23" s="42"/>
      <c r="AI23" s="64"/>
      <c r="AJ23" s="40"/>
      <c r="AK23" s="64"/>
    </row>
    <row r="24" spans="1:37" ht="19.25" customHeight="1">
      <c r="A24" s="42" t="s">
        <v>211</v>
      </c>
      <c r="B24" s="48" t="s">
        <v>161</v>
      </c>
      <c r="C24" s="75"/>
      <c r="D24" s="48"/>
      <c r="E24" s="48"/>
      <c r="F24" s="48"/>
      <c r="G24" s="48"/>
      <c r="H24" s="48"/>
      <c r="I24" s="75"/>
      <c r="J24" s="75"/>
      <c r="K24" s="48"/>
      <c r="L24" s="48"/>
      <c r="M24" s="48"/>
      <c r="N24" s="48"/>
      <c r="O24" s="48"/>
      <c r="P24" s="75"/>
      <c r="Q24" s="75"/>
      <c r="R24" s="48"/>
      <c r="S24" s="48"/>
      <c r="T24" s="48"/>
      <c r="U24" s="48"/>
      <c r="V24" s="48"/>
      <c r="W24" s="75"/>
      <c r="X24" s="75"/>
      <c r="Y24" s="75"/>
      <c r="Z24" s="48"/>
      <c r="AA24" s="48"/>
      <c r="AB24" s="48"/>
      <c r="AC24" s="48"/>
      <c r="AD24" s="48"/>
      <c r="AE24" s="75"/>
      <c r="AF24" s="48"/>
      <c r="AG24" s="48"/>
      <c r="AH24" s="42" t="s">
        <v>211</v>
      </c>
      <c r="AI24" s="40"/>
      <c r="AJ24" s="40"/>
      <c r="AK24" s="40"/>
    </row>
    <row r="25" spans="1:37" ht="19.25" customHeight="1">
      <c r="A25" s="42"/>
      <c r="B25" s="48"/>
      <c r="C25" s="72"/>
      <c r="D25" s="48"/>
      <c r="E25" s="48"/>
      <c r="F25" s="48"/>
      <c r="G25" s="48"/>
      <c r="H25" s="48"/>
      <c r="I25" s="72"/>
      <c r="J25" s="72"/>
      <c r="K25" s="48"/>
      <c r="L25" s="48"/>
      <c r="M25" s="48"/>
      <c r="N25" s="48"/>
      <c r="O25" s="48"/>
      <c r="P25" s="72"/>
      <c r="Q25" s="72"/>
      <c r="R25" s="48"/>
      <c r="S25" s="48"/>
      <c r="T25" s="48"/>
      <c r="U25" s="48"/>
      <c r="V25" s="48"/>
      <c r="W25" s="72"/>
      <c r="X25" s="72"/>
      <c r="Y25" s="72"/>
      <c r="Z25" s="48"/>
      <c r="AA25" s="48"/>
      <c r="AB25" s="48"/>
      <c r="AC25" s="48"/>
      <c r="AD25" s="48"/>
      <c r="AE25" s="72"/>
      <c r="AF25" s="48"/>
      <c r="AG25" s="48"/>
      <c r="AH25" s="42"/>
      <c r="AI25" s="40">
        <f>_xlfn.LET(
    _xlpm._範囲, $C25:$AG25,
    _xlpm._交差日数,
        COUNTIF(_xlpm._範囲, "湖"),
    _xlpm._交差日数*7.45
)</f>
        <v>0</v>
      </c>
      <c r="AJ25" s="40">
        <v>1</v>
      </c>
      <c r="AK25" s="40"/>
    </row>
    <row r="26" spans="1:37" ht="19.25" customHeight="1">
      <c r="A26" s="42"/>
      <c r="B26" s="48"/>
      <c r="C26" s="72"/>
      <c r="D26" s="48"/>
      <c r="E26" s="48"/>
      <c r="F26" s="48"/>
      <c r="G26" s="48"/>
      <c r="H26" s="48"/>
      <c r="I26" s="72"/>
      <c r="J26" s="72"/>
      <c r="K26" s="48"/>
      <c r="L26" s="48"/>
      <c r="M26" s="48"/>
      <c r="N26" s="48"/>
      <c r="O26" s="48"/>
      <c r="P26" s="72"/>
      <c r="Q26" s="72"/>
      <c r="R26" s="48"/>
      <c r="S26" s="48"/>
      <c r="T26" s="48"/>
      <c r="U26" s="48"/>
      <c r="V26" s="48"/>
      <c r="W26" s="72"/>
      <c r="X26" s="72"/>
      <c r="Y26" s="72"/>
      <c r="Z26" s="48"/>
      <c r="AA26" s="48"/>
      <c r="AB26" s="48"/>
      <c r="AC26" s="48"/>
      <c r="AD26" s="48"/>
      <c r="AE26" s="72"/>
      <c r="AF26" s="48"/>
      <c r="AG26" s="48"/>
      <c r="AH26" s="42"/>
      <c r="AI26" s="40">
        <f>_xlfn.LET(
    _xlpm._範囲, $C26:$AG26,
    _xlpm._交差日数,
        COUNTIF(_xlpm._範囲, "湖"),
    _xlpm._交差日数*7.45
)</f>
        <v>0</v>
      </c>
      <c r="AJ26" s="40">
        <v>1</v>
      </c>
      <c r="AK26" s="40"/>
    </row>
    <row r="27" spans="1:37" ht="19.25" customHeight="1">
      <c r="AH27" s="65" t="s">
        <v>165</v>
      </c>
      <c r="AI27" s="40" t="e" vm="2">
        <f>SUM(AI28:AI30)</f>
        <v>#VALUE!</v>
      </c>
    </row>
    <row r="28" spans="1:37" ht="19.25" customHeight="1">
      <c r="AH28" s="65" t="s">
        <v>166</v>
      </c>
      <c r="AI28" s="40" t="e" cm="1" vm="2">
        <f t="array" ref="AI28">_xlfn.LET(
    _xlpm._分類,$AJ$1:$AJ$26,
    _xlpm._工数,$AI$1:$AI$26,
    SUM(
        _xlfn._xlws.FILTER(_xlpm._工数,
            _xlpm._分類 = 1)
    )+AK28
)</f>
        <v>#VALUE!</v>
      </c>
      <c r="AK28" s="40" t="e" cm="1" vm="2">
        <f t="array" ref="AK28">_xlfn.LET(
    _xlpm._分類,$AJ$1:$AJ$26,
    _xlpm._時間外,$AK$1:$AK$26,
    SUM(
        _xlfn._xlws.FILTER(_xlpm._時間外,
            _xlpm._分類 = 1)
    )
)</f>
        <v>#VALUE!</v>
      </c>
    </row>
    <row r="29" spans="1:37" ht="19.25" customHeight="1">
      <c r="AH29" s="65" t="s">
        <v>161</v>
      </c>
      <c r="AI29" s="40" t="e" cm="1" vm="2">
        <f t="array" ref="AI29">_xlfn.LET(
    _xlpm._分類,$AJ$1:$AJ$26,
    _xlpm._工数,$AI$1:$AI$26,
    SUM(
        _xlfn._xlws.FILTER(_xlpm._工数,
            _xlpm._分類 = 2)
    )+AK29
)</f>
        <v>#VALUE!</v>
      </c>
      <c r="AK29" s="40" t="e" cm="1" vm="2">
        <f t="array" ref="AK29">_xlfn.LET(
    _xlpm._分類,$AJ$1:$AJ$26,
    _xlpm._時間外,$AK$1:$AK$26,
    SUM(
        _xlfn._xlws.FILTER(_xlpm._時間外,
            _xlpm._分類 = 2)
    )
)</f>
        <v>#VALUE!</v>
      </c>
    </row>
    <row r="30" spans="1:37" ht="19.25" customHeight="1">
      <c r="AH30" s="65" t="s">
        <v>167</v>
      </c>
      <c r="AI30" s="40" t="e" cm="1" vm="2">
        <f t="array" ref="AI30">_xlfn.LET(
    _xlpm._分類,$AJ$1:$AJ$26,
    _xlpm._工数,$AI$1:$AI$26,
    SUM(
        _xlfn._xlws.FILTER(_xlpm._工数,
            _xlpm._分類 = 0)
    )+AK30
)</f>
        <v>#VALUE!</v>
      </c>
      <c r="AK30" s="40" t="e" cm="1" vm="2">
        <f t="array" ref="AK30">_xlfn.LET(
    _xlpm._分類,$AJ$1:$AJ$26,
    _xlpm._時間外,$AK$1:$AK$26,
    SUM(
        _xlfn._xlws.FILTER(_xlpm._時間外,
            _xlpm._分類 = 0)
    )
)</f>
        <v>#VALUE!</v>
      </c>
    </row>
    <row r="31" spans="1:37" ht="19.25" customHeight="1">
      <c r="AJ31" s="40" t="s">
        <v>168</v>
      </c>
      <c r="AK31" s="40" t="e" vm="2">
        <f>SUM(AK28:AK30)</f>
        <v>#VALUE!</v>
      </c>
    </row>
  </sheetData>
  <mergeCells count="4">
    <mergeCell ref="AB1:AG1"/>
    <mergeCell ref="V2:W2"/>
    <mergeCell ref="X2:Z2"/>
    <mergeCell ref="AB2:AG2"/>
  </mergeCells>
  <phoneticPr fontId="1"/>
  <pageMargins left="0.7" right="0.7" top="0.75" bottom="0.75" header="0.3" footer="0.3"/>
  <pageSetup paperSize="9" scale="65" orientation="portrait" verticalDpi="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bestFit="true" customWidth="true" width="35.1640625"/>
  </cols>
  <sheetData>
    <row r="1" spans="1:1">
      <c r="A1" s="32" t="s">
        <v>169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16</vt:i4>
      </vt:variant>
      <vt:variant>
        <vt:lpstr>名前付き一覧</vt:lpstr>
      </vt:variant>
      <vt:variant>
        <vt:i4>2</vt:i4>
      </vt:variant>
    </vt:vector>
  </HeadingPairs>
  <TitlesOfParts>
    <vt:vector size="18" baseType="lpstr">
      <vt:lpstr>メイン</vt:lpstr>
      <vt:lpstr>skills</vt:lpstr>
      <vt:lpstr>組み合わせ表</vt:lpstr>
      <vt:lpstr>need</vt:lpstr>
      <vt:lpstr>speed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2026年7月カレンダー</vt:lpstr>
      <vt:lpstr>2026年8月カレンダー</vt:lpstr>
      <vt:lpstr>2026年9月カレンダー</vt:lpstr>
      <vt:lpstr>2026年10月カレンダー</vt:lpstr>
      <vt:lpstr>2026年11月カレンダー</vt:lpstr>
      <vt:lpstr>need!Print_Area</vt:lpstr>
      <vt:lpstr>speed!Print_Area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2026-03-20T04:59:22Z</dcterms:created>
  <dc:creator>細川 長岡産業</dc:creator>
  <cp:lastModifiedBy>細川 長岡産業</cp:lastModifiedBy>
  <cp:lastPrinted>2026-04-07T22:58:44Z</cp:lastPrinted>
  <dcterms:modified xsi:type="dcterms:W3CDTF">2026-08-20T09:04:32Z</dcterms:modified>
</cp:coreProperties>
</file>